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3e803a09a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guide" sheetId="1" r:id="Redc9b74ed0ce40f8"/>
    <x:sheet xmlns:r="http://schemas.openxmlformats.org/officeDocument/2006/relationships" name="Assessment A" sheetId="2" r:id="R3ce37237906d422b"/>
    <x:sheet xmlns:r="http://schemas.openxmlformats.org/officeDocument/2006/relationships" name="Assessment AA" sheetId="3" r:id="Rfd4324eef22b4f2e"/>
    <x:sheet xmlns:r="http://schemas.openxmlformats.org/officeDocument/2006/relationships" name="Assessment AAA" sheetId="4" r:id="Rfcf118ef471b4401"/>
    <x:sheet xmlns:r="http://schemas.openxmlformats.org/officeDocument/2006/relationships" name="Class record" sheetId="5" r:id="R350d9ff26401449a"/>
    <x:sheet xmlns:r="http://schemas.openxmlformats.org/officeDocument/2006/relationships" name="Assessment Pre-A" sheetId="6" r:id="R58f6a70220d8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sz val="10"/>
      <x:color rgb="FF28243A"/>
      <x:name val="Arial"/>
    </x:font>
    <x:font>
      <x:b/>
      <x:sz val="16"/>
      <x:color rgb="FF28243A"/>
      <x:name val="Arial"/>
    </x:font>
    <x:font>
      <x:b/>
      <x:sz val="10"/>
      <x:color rgb="FFFFFFFF"/>
      <x:name val="Arial"/>
    </x:font>
    <x:font>
      <x:b/>
      <x:sz val="10"/>
      <x:color rgb="FF28243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4E3567"/>
      </x:patternFill>
    </x:fill>
    <x:fill>
      <x:patternFill patternType="solid">
        <x:fgColor rgb="FFFFF0CE"/>
      </x:patternFill>
    </x:fill>
    <x:fill>
      <x:patternFill patternType="solid">
        <x:fgColor rgb="FFFFFFFF"/>
      </x:patternFill>
    </x:fill>
    <x:fill>
      <x:patternFill patternType="solid">
        <x:fgColor rgb="FFFFF0CE"/>
      </x:patternFill>
    </x:fill>
    <x:fill>
      <x:patternFill patternType="solid">
        <x:fgColor rgb="FF4E356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A8C4C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A83A20"/>
      </x:font>
      <x:fill>
        <x:patternFill>
          <x:bgColor rgb="FFFCE3DA"/>
        </x:patternFill>
      </x:fill>
    </x:dxf>
    <x:dxf>
      <x:font>
        <x:color rgb="FFA83A20"/>
      </x:font>
      <x:fill>
        <x:patternFill>
          <x:bgColor rgb="FFFCE3DA"/>
        </x:patternFill>
      </x:fill>
    </x:dxf>
    <x:dxf>
      <x:font>
        <x:color rgb="FFA83A20"/>
      </x:font>
      <x:fill>
        <x:patternFill>
          <x:bgColor rgb="FFFCE3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7b808727343c6" /><Relationship Type="http://schemas.openxmlformats.org/officeDocument/2006/relationships/theme" Target="/xl/theme/theme1.xml" Id="Raddfc1ae52574e77" /><Relationship Type="http://schemas.openxmlformats.org/officeDocument/2006/relationships/sharedStrings" Target="/xl/sharedStrings.xml" Id="R9e9dc2cb32ba4ae7" /><Relationship Type="http://schemas.openxmlformats.org/officeDocument/2006/relationships/worksheet" Target="/xl/worksheets/sheet1.xml" Id="Redc9b74ed0ce40f8" /><Relationship Type="http://schemas.openxmlformats.org/officeDocument/2006/relationships/worksheet" Target="/xl/worksheets/sheet2.xml" Id="R3ce37237906d422b" /><Relationship Type="http://schemas.openxmlformats.org/officeDocument/2006/relationships/worksheet" Target="/xl/worksheets/sheet3.xml" Id="Rfd4324eef22b4f2e" /><Relationship Type="http://schemas.openxmlformats.org/officeDocument/2006/relationships/worksheet" Target="/xl/worksheets/sheet4.xml" Id="Rfcf118ef471b4401" /><Relationship Type="http://schemas.openxmlformats.org/officeDocument/2006/relationships/worksheet" Target="/xl/worksheets/sheet5.xml" Id="R350d9ff26401449a" /><Relationship Type="http://schemas.openxmlformats.org/officeDocument/2006/relationships/worksheet" Target="/xl/worksheets/sheet6.xml" Id="R58f6a70220d8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E3567"/>
  </x:sheetPr>
  <x:sheetViews>
    <x:sheetView showGridLines="0" workbookViewId="0"/>
  </x:sheetViews>
  <x:sheetFormatPr defaultRowHeight="15"/>
  <x:cols>
    <x:col min="1" max="1" width="4" hidden="0" customWidth="1"/>
    <x:col min="2" max="2" width="27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/>
      <x:c r="B2" s="3" t="str">
        <x:v>The Tiny Pumpkin Mystery</x:v>
      </x:c>
      <x:c r="C2" s="3"/>
      <x:c r="D2" s="3"/>
      <x:c r="E2" s="3"/>
      <x:c r="F2" s="3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32" customHeight="1">
      <x:c r="A5" s="2"/>
      <x:c r="B5" s="8" t="str">
        <x:v>Level</x:v>
      </x:c>
      <x:c r="C5" s="8" t="str">
        <x:v>Grades</x:v>
      </x:c>
      <x:c r="D5" s="8" t="str">
        <x:v>Sections</x:v>
      </x:c>
      <x:c r="E5" s="8" t="str">
        <x:v>Marks</x:v>
      </x:c>
      <x:c r="F5" s="8" t="str">
        <x:v>Map houses</x:v>
      </x:c>
    </x:row>
    <x:row r="6" ht="24" customHeight="1">
      <x:c r="A6" s="2"/>
      <x:c r="B6" s="2" t="str">
        <x:v>Pre-A</x:v>
      </x:c>
      <x:c r="C6" s="2" t="str">
        <x:v>Early readers</x:v>
      </x:c>
      <x:c r="D6" s="2" t="n">
        <x:v>6</x:v>
      </x:c>
      <x:c r="E6" s="2" t="n">
        <x:v>12</x:v>
      </x:c>
      <x:c r="F6" s="2" t="n">
        <x:v>2</x:v>
      </x:c>
    </x:row>
    <x:row r="7" ht="24" customHeight="1">
      <x:c r="A7" s="2"/>
      <x:c r="B7" s="2" t="str">
        <x:v>A</x:v>
      </x:c>
      <x:c r="C7" s="2" t="str">
        <x:v>1-2</x:v>
      </x:c>
      <x:c r="D7" s="2" t="n">
        <x:v>6</x:v>
      </x:c>
      <x:c r="E7" s="2" t="n">
        <x:v>18</x:v>
      </x:c>
      <x:c r="F7" s="2" t="n">
        <x:v>4</x:v>
      </x:c>
    </x:row>
    <x:row r="8" ht="24" customHeight="1">
      <x:c r="A8" s="2"/>
      <x:c r="B8" s="2" t="str">
        <x:v>AA</x:v>
      </x:c>
      <x:c r="C8" s="2" t="str">
        <x:v>3-4</x:v>
      </x:c>
      <x:c r="D8" s="2" t="n">
        <x:v>6</x:v>
      </x:c>
      <x:c r="E8" s="2" t="n">
        <x:v>30</x:v>
      </x:c>
      <x:c r="F8" s="2" t="n">
        <x:v>8</x:v>
      </x:c>
    </x:row>
    <x:row r="9" ht="24" customHeight="1">
      <x:c r="A9" s="2"/>
      <x:c r="B9" s="2" t="str">
        <x:v>AAA</x:v>
      </x:c>
      <x:c r="C9" s="2" t="str">
        <x:v>5-6</x:v>
      </x:c>
      <x:c r="D9" s="2" t="n">
        <x:v>6</x:v>
      </x:c>
      <x:c r="E9" s="2" t="n">
        <x:v>30</x:v>
      </x:c>
      <x:c r="F9" s="2" t="n">
        <x:v>10</x:v>
      </x:c>
    </x:row>
    <x:row r="10" ht="24" customHeight="1">
      <x:c r="A10" s="2"/>
      <x:c r="B10" s="2"/>
      <x:c r="C10" s="2"/>
      <x:c r="D10" s="2"/>
      <x:c r="E10" s="2"/>
      <x:c r="F10" s="2"/>
    </x:row>
    <x:row r="11" ht="38" customHeight="1">
      <x:c r="A11" s="2"/>
      <x:c r="B11" s="10" t="str">
        <x:v>How to run</x:v>
      </x:c>
      <x:c r="C11" s="9" t="str">
        <x:v>Pre-A: 2 items per section / 12 marks. A: 3 / 18. AA and AAA: 5 / 30.</x:v>
      </x:c>
      <x:c r="D11" s="9"/>
      <x:c r="E11" s="9"/>
      <x:c r="F11" s="9"/>
    </x:row>
    <x:row r="12" ht="38" customHeight="1">
      <x:c r="A12" s="2"/>
      <x:c r="B12" s="10" t="str">
        <x:v>Progress</x:v>
      </x:c>
      <x:c r="C12" s="9" t="str">
        <x:v>Lock &amp; continue opens a confirmation. Unanswered items receive 0 marks after locking.</x:v>
      </x:c>
      <x:c r="D12" s="9"/>
      <x:c r="E12" s="9"/>
      <x:c r="F12" s="9"/>
    </x:row>
    <x:row r="13" ht="38" customHeight="1">
      <x:c r="A13" s="2"/>
      <x:c r="B13" s="10" t="str">
        <x:v>Forward only</x:v>
      </x:c>
      <x:c r="C13" s="9" t="str">
        <x:v>Locked story sections and responses cannot be reopened in the activity.</x:v>
      </x:c>
      <x:c r="D13" s="9"/>
      <x:c r="E13" s="9"/>
      <x:c r="F13" s="9"/>
    </x:row>
    <x:row r="14" ht="38" customHeight="1">
      <x:c r="A14" s="2"/>
      <x:c r="B14" s="10" t="str">
        <x:v>Reference tools</x:v>
      </x:c>
      <x:c r="C14" s="9" t="str">
        <x:v>Pre-A and A: Play/Stop and four speeds. Maps and collected clues stay available.</x:v>
      </x:c>
      <x:c r="D14" s="9"/>
      <x:c r="E14" s="9"/>
      <x:c r="F14" s="9"/>
    </x:row>
    <x:row r="15" ht="38" customHeight="1">
      <x:c r="A15" s="2"/>
      <x:c r="B15" s="10" t="str">
        <x:v>Results</x:v>
      </x:c>
      <x:c r="C15" s="9" t="str">
        <x:v>Download Excel with every passage, picture, question, option, student choice and mark.</x:v>
      </x:c>
      <x:c r="D15" s="9"/>
      <x:c r="E15" s="9"/>
      <x:c r="F15" s="9"/>
    </x:row>
    <x:row r="16" ht="38" customHeight="1">
      <x:c r="A16" s="2"/>
      <x:c r="B16" s="10" t="str">
        <x:v>Delivery</x:v>
      </x:c>
      <x:c r="C16" s="9" t="str">
        <x:v>Students must give the downloaded result file to the teacher.</x:v>
      </x:c>
      <x:c r="D16" s="9"/>
      <x:c r="E16" s="9"/>
      <x:c r="F16" s="9"/>
    </x:row>
    <x:row r="17" ht="38" customHeight="1">
      <x:c r="A17" s="2"/>
      <x:c r="B17" s="10" t="str">
        <x:v>Marking sheets</x:v>
      </x:c>
      <x:c r="C17" s="9" t="str">
        <x:v>Paste CSV responses: Pre-A H10:H21; A H10:H27; AA/AAA H10:H39.</x:v>
      </x:c>
      <x:c r="D17" s="9"/>
      <x:c r="E17" s="9"/>
      <x:c r="F17" s="9"/>
    </x:row>
    <x:row r="18" ht="38" customHeight="1">
      <x:c r="A18" s="2"/>
      <x:c r="B18" s="10" t="str">
        <x:v>Marking</x:v>
      </x:c>
      <x:c r="C18" s="9" t="str">
        <x:v>Each multiple choice response and each matching pair earns 1 mark.</x:v>
      </x:c>
      <x:c r="D18" s="9"/>
      <x:c r="E18" s="9"/>
      <x:c r="F18" s="9"/>
    </x:row>
    <x:row r="19" ht="38" customHeight="1">
      <x:c r="A19" s="2"/>
      <x:c r="B19" s="10" t="str">
        <x:v>Class record</x:v>
      </x:c>
      <x:c r="C19" s="9" t="str">
        <x:v>Enter six section scores: Pre-A 0-2, A 0-3, AA/AAA 0-5.</x:v>
      </x:c>
      <x:c r="D19" s="9"/>
      <x:c r="E19" s="9"/>
      <x:c r="F19" s="9"/>
    </x:row>
    <x:row r="20" ht="38" customHeight="1">
      <x:c r="A20" s="2"/>
      <x:c r="B20" s="10" t="str">
        <x:v>Device storage</x:v>
      </x:c>
      <x:c r="C20" s="9" t="str">
        <x:v>Use Reset at the opening or Clear for next student after downloading the completed results.</x:v>
      </x:c>
      <x:c r="D20" s="9"/>
      <x:c r="E20" s="9"/>
      <x:c r="F20" s="9"/>
    </x:row>
    <x:row r="21" ht="38" customHeight="1">
      <x:c r="A21" s="2"/>
      <x:c r="B21" s="10" t="str">
        <x:v>Assessment limit</x:v>
      </x:c>
      <x:c r="C21" s="9" t="str">
        <x:v>Browser storage enforces normal navigation; this is not a secure exam server.</x:v>
      </x:c>
      <x:c r="D21" s="9"/>
      <x:c r="E21" s="9"/>
      <x:c r="F21" s="9"/>
    </x:row>
    <x:row r="22" ht="38" customHeight="1">
      <x:c r="A22" s="2"/>
      <x:c r="B22" s="10" t="str">
        <x:v>Setting</x:v>
      </x:c>
      <x:c r="C22" s="9" t="str">
        <x:v>Original fiction on a fictional block in Toronto’s High Park neighbourhood.</x:v>
      </x:c>
      <x:c r="D22" s="9"/>
      <x:c r="E22" s="9"/>
      <x:c r="F22" s="9"/>
    </x:row>
    <x:row r="23" ht="38" customHeight="1">
      <x:c r="A23" s="2"/>
      <x:c r="B23" s="10" t="str">
        <x:v>Solution</x:v>
      </x:c>
      <x:c r="C23" s="9" t="str">
        <x:v>Pre-A: House 2. A: House 4. AA/AAA: House 6. Look inside the silver tin.</x:v>
      </x:c>
      <x:c r="D23" s="9"/>
      <x:c r="E23" s="9"/>
      <x:c r="F23" s="9"/>
    </x:row>
    <x:row r="24" ht="38" customHeight="1">
      <x:c r="A24" s="2"/>
      <x:c r="B24" s="10" t="str">
        <x:v>Clue sequence</x:v>
      </x:c>
      <x:c r="C24" s="9" t="str">
        <x:v>Purple light, mat activation, three carved pumpkins, owl calling Hoo, silver tin beneath perch.</x:v>
      </x:c>
      <x:c r="D24" s="9"/>
      <x:c r="E24" s="9"/>
      <x:c r="F24" s="9"/>
    </x:row>
    <x:row r="25" ht="38" customHeight="1">
      <x:c r="A25" s="2"/>
      <x:c r="B25" s="10" t="str">
        <x:v>Candidates</x:v>
      </x:c>
      <x:c r="C25" s="9" t="str">
        <x:v>Possible counts after clues: A 4,3,2,2,1,1. AA 8,7,5,4,2,1. AAA 10,8,5,4,2,1.</x:v>
      </x:c>
      <x:c r="D25" s="9"/>
      <x:c r="E25" s="9"/>
      <x:c r="F25" s="9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</x:sheetData>
  <x:mergeCells>
    <x:mergeCell ref="C11:F11"/>
    <x:mergeCell ref="C12:F12"/>
    <x:mergeCell ref="C13:F13"/>
    <x:mergeCell ref="C14:F14"/>
    <x:mergeCell ref="C15:F15"/>
    <x:mergeCell ref="C16:F16"/>
    <x:mergeCell ref="C17:F17"/>
    <x:mergeCell ref="C18:F18"/>
    <x:mergeCell ref="C19:F19"/>
    <x:mergeCell ref="C20:F20"/>
    <x:mergeCell ref="C21:F21"/>
    <x:mergeCell ref="C22:F22"/>
    <x:mergeCell ref="C23:F23"/>
    <x:mergeCell ref="C24:F24"/>
    <x:mergeCell ref="C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356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25" hidden="0" customWidth="1"/>
    <x:col min="5" max="5" width="54" hidden="0" customWidth="1"/>
    <x:col min="6" max="6" width="54" hidden="0" customWidth="1"/>
    <x:col min="7" max="7" width="41" hidden="0" customWidth="1"/>
    <x:col min="8" max="8" width="41" hidden="0" customWidth="1"/>
    <x:col min="9" max="9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Level A — Grades 1–2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Student ID</x:v>
      </x:c>
      <x:c r="B4" s="11"/>
      <x:c r="C4" s="2" t="str">
        <x:v>Date</x:v>
      </x:c>
      <x:c r="D4" s="11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 t="str">
        <x:v>Marks</x:v>
      </x:c>
      <x:c r="B6" s="2" t="str">
        <x:f>IF(COUNTA(H10:H27)=0,"",SUM(I10:I27))</x:f>
      </x:c>
      <x:c r="C6" s="2" t="str">
        <x:v>out of 18</x:v>
      </x:c>
      <x:c r="D6" s="2" t="str">
        <x:v>Answered</x:v>
      </x:c>
      <x:c r="E6" s="2" t="n">
        <x:f>COUNTA(H10:H27)</x:f>
        <x:v>0</x:v>
      </x:c>
      <x:c r="F6" s="2" t="str">
        <x:v>Paste student responses into yellow cells.</x:v>
      </x:c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 t="str">
        <x:v>One mark per item. Blank responses remain unmarked.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8" t="str">
        <x:v>Section</x:v>
      </x:c>
      <x:c r="B9" s="8" t="str">
        <x:v>Item</x:v>
      </x:c>
      <x:c r="C9" s="8" t="str">
        <x:v>Type</x:v>
      </x:c>
      <x:c r="D9" s="8" t="str">
        <x:v>Skill</x:v>
      </x:c>
      <x:c r="E9" s="8" t="str">
        <x:v>Question / prompt</x:v>
      </x:c>
      <x:c r="F9" s="8" t="str">
        <x:v>Choices / matching bank</x:v>
      </x:c>
      <x:c r="G9" s="8" t="str">
        <x:v>Correct response</x:v>
      </x:c>
      <x:c r="H9" s="8" t="str">
        <x:v>Student response</x:v>
      </x:c>
      <x:c r="I9" s="8" t="str">
        <x:v>Mark</x:v>
      </x:c>
    </x:row>
    <x:row r="10" ht="63" customHeight="1">
      <x:c r="A10" s="2" t="n">
        <x:v>1</x:v>
      </x:c>
      <x:c r="B10" s="2" t="str">
        <x:v>Q1</x:v>
      </x:c>
      <x:c r="C10" s="2" t="str">
        <x:v>Multiple choice</x:v>
      </x:c>
      <x:c r="D10" s="9" t="str">
        <x:v>Find a detail</x:v>
      </x:c>
      <x:c r="E10" s="9" t="str">
        <x:v>What must the kids find?</x:v>
      </x:c>
      <x:c r="F10" s="9" t="str">
        <x:v>A. A hat
B. A pumpkin keychain
C. A shoe</x:v>
      </x:c>
      <x:c r="G10" s="9" t="str">
        <x:v>A pumpkin keychain</x:v>
      </x:c>
      <x:c r="H10" s="12"/>
      <x:c r="I10" s="2" t="str">
        <x:f>IF(H10="","",IF(H10=G10,1,0))</x:f>
      </x:c>
    </x:row>
    <x:row r="11" ht="63" customHeight="1">
      <x:c r="A11" s="2" t="n">
        <x:v>1</x:v>
      </x:c>
      <x:c r="B11" s="2" t="str">
        <x:v>M1</x:v>
      </x:c>
      <x:c r="C11" s="2" t="str">
        <x:v>Matching</x:v>
      </x:c>
      <x:c r="D11" s="9" t="str">
        <x:v>Story details</x:v>
      </x:c>
      <x:c r="E11" s="9" t="str">
        <x:v>The party is near</x:v>
      </x:c>
      <x:c r="F11" s="9" t="str">
        <x:v>a book
High Park</x:v>
      </x:c>
      <x:c r="G11" s="9" t="str">
        <x:v>High Park</x:v>
      </x:c>
      <x:c r="H11" s="12"/>
      <x:c r="I11" s="2" t="str">
        <x:f>IF(H11="","",IF(H11=G11,1,0))</x:f>
      </x:c>
    </x:row>
    <x:row r="12" ht="63" customHeight="1">
      <x:c r="A12" s="2" t="n">
        <x:v>1</x:v>
      </x:c>
      <x:c r="B12" s="2" t="str">
        <x:v>M2</x:v>
      </x:c>
      <x:c r="C12" s="2" t="str">
        <x:v>Matching</x:v>
      </x:c>
      <x:c r="D12" s="9" t="str">
        <x:v>Story details</x:v>
      </x:c>
      <x:c r="E12" s="9" t="str">
        <x:v>The prize is</x:v>
      </x:c>
      <x:c r="F12" s="9" t="str">
        <x:v>a book
High Park</x:v>
      </x:c>
      <x:c r="G12" s="9" t="str">
        <x:v>a book</x:v>
      </x:c>
      <x:c r="H12" s="12"/>
      <x:c r="I12" s="2" t="str">
        <x:f>IF(H12="","",IF(H12=G12,1,0))</x:f>
      </x:c>
    </x:row>
    <x:row r="13" ht="63" customHeight="1">
      <x:c r="A13" s="2" t="n">
        <x:v>2</x:v>
      </x:c>
      <x:c r="B13" s="2" t="str">
        <x:v>Q1</x:v>
      </x:c>
      <x:c r="C13" s="2" t="str">
        <x:v>Multiple choice</x:v>
      </x:c>
      <x:c r="D13" s="9" t="str">
        <x:v>Find a detail</x:v>
      </x:c>
      <x:c r="E13" s="9" t="str">
        <x:v>What do you step on?</x:v>
      </x:c>
      <x:c r="F13" s="9" t="str">
        <x:v>A. A bell
B. A mat
C. A ribbon</x:v>
      </x:c>
      <x:c r="G13" s="9" t="str">
        <x:v>A mat</x:v>
      </x:c>
      <x:c r="H13" s="12"/>
      <x:c r="I13" s="2" t="str">
        <x:f>IF(H13="","",IF(H13=G13,1,0))</x:f>
      </x:c>
    </x:row>
    <x:row r="14" ht="63" customHeight="1">
      <x:c r="A14" s="2" t="n">
        <x:v>2</x:v>
      </x:c>
      <x:c r="B14" s="2" t="str">
        <x:v>M1</x:v>
      </x:c>
      <x:c r="C14" s="2" t="str">
        <x:v>Matching</x:v>
      </x:c>
      <x:c r="D14" s="9" t="str">
        <x:v>Story details</x:v>
      </x:c>
      <x:c r="E14" s="9" t="str">
        <x:v>House number 1</x:v>
      </x:c>
      <x:c r="F14" s="9" t="str">
        <x:v>a ghost
a spider</x:v>
      </x:c>
      <x:c r="G14" s="9" t="str">
        <x:v>a ghost</x:v>
      </x:c>
      <x:c r="H14" s="12"/>
      <x:c r="I14" s="2" t="str">
        <x:f>IF(H14="","",IF(H14=G14,1,0))</x:f>
      </x:c>
    </x:row>
    <x:row r="15" ht="63" customHeight="1">
      <x:c r="A15" s="2" t="n">
        <x:v>2</x:v>
      </x:c>
      <x:c r="B15" s="2" t="str">
        <x:v>M2</x:v>
      </x:c>
      <x:c r="C15" s="2" t="str">
        <x:v>Matching</x:v>
      </x:c>
      <x:c r="D15" s="9" t="str">
        <x:v>Story details</x:v>
      </x:c>
      <x:c r="E15" s="9" t="str">
        <x:v>House number 2</x:v>
      </x:c>
      <x:c r="F15" s="9" t="str">
        <x:v>a ghost
a spider</x:v>
      </x:c>
      <x:c r="G15" s="9" t="str">
        <x:v>a spider</x:v>
      </x:c>
      <x:c r="H15" s="12"/>
      <x:c r="I15" s="2" t="str">
        <x:f>IF(H15="","",IF(H15=G15,1,0))</x:f>
      </x:c>
    </x:row>
    <x:row r="16" ht="63" customHeight="1">
      <x:c r="A16" s="2" t="n">
        <x:v>3</x:v>
      </x:c>
      <x:c r="B16" s="2" t="str">
        <x:v>Q1</x:v>
      </x:c>
      <x:c r="C16" s="2" t="str">
        <x:v>Multiple choice</x:v>
      </x:c>
      <x:c r="D16" s="9" t="str">
        <x:v>Find a detail</x:v>
      </x:c>
      <x:c r="E16" s="9" t="str">
        <x:v>Clue 3: How many pumpkins?</x:v>
      </x:c>
      <x:c r="F16" s="9" t="str">
        <x:v>A. Two
B. Three
C. Four</x:v>
      </x:c>
      <x:c r="G16" s="9" t="str">
        <x:v>Three</x:v>
      </x:c>
      <x:c r="H16" s="12"/>
      <x:c r="I16" s="2" t="str">
        <x:f>IF(H16="","",IF(H16=G16,1,0))</x:f>
      </x:c>
    </x:row>
    <x:row r="17" ht="63" customHeight="1">
      <x:c r="A17" s="2" t="n">
        <x:v>3</x:v>
      </x:c>
      <x:c r="B17" s="2" t="str">
        <x:v>M1</x:v>
      </x:c>
      <x:c r="C17" s="2" t="str">
        <x:v>Matching</x:v>
      </x:c>
      <x:c r="D17" s="9" t="str">
        <x:v>Story details</x:v>
      </x:c>
      <x:c r="E17" s="9" t="str">
        <x:v>House 1: Ben</x:v>
      </x:c>
      <x:c r="F17" s="9" t="str">
        <x:v>stepped on a mat
pulled a ribbon</x:v>
      </x:c>
      <x:c r="G17" s="9" t="str">
        <x:v>stepped on a mat</x:v>
      </x:c>
      <x:c r="H17" s="12"/>
      <x:c r="I17" s="2" t="str">
        <x:f>IF(H17="","",IF(H17=G17,1,0))</x:f>
      </x:c>
    </x:row>
    <x:row r="18" ht="63" customHeight="1">
      <x:c r="A18" s="2" t="n">
        <x:v>3</x:v>
      </x:c>
      <x:c r="B18" s="2" t="str">
        <x:v>M2</x:v>
      </x:c>
      <x:c r="C18" s="2" t="str">
        <x:v>Matching</x:v>
      </x:c>
      <x:c r="D18" s="9" t="str">
        <x:v>Story details</x:v>
      </x:c>
      <x:c r="E18" s="9" t="str">
        <x:v>House 2: Maya</x:v>
      </x:c>
      <x:c r="F18" s="9" t="str">
        <x:v>stepped on a mat
pulled a ribbon</x:v>
      </x:c>
      <x:c r="G18" s="9" t="str">
        <x:v>pulled a ribbon</x:v>
      </x:c>
      <x:c r="H18" s="12"/>
      <x:c r="I18" s="2" t="str">
        <x:f>IF(H18="","",IF(H18=G18,1,0))</x:f>
      </x:c>
    </x:row>
    <x:row r="19" ht="63" customHeight="1">
      <x:c r="A19" s="2" t="n">
        <x:v>4</x:v>
      </x:c>
      <x:c r="B19" s="2" t="str">
        <x:v>Q1</x:v>
      </x:c>
      <x:c r="C19" s="2" t="str">
        <x:v>Multiple choice</x:v>
      </x:c>
      <x:c r="D19" s="9" t="str">
        <x:v>Find a detail</x:v>
      </x:c>
      <x:c r="E19" s="9" t="str">
        <x:v>What says “Hoo!”?</x:v>
      </x:c>
      <x:c r="F19" s="9" t="str">
        <x:v>A. A cat
B. An owl
C. A ghost</x:v>
      </x:c>
      <x:c r="G19" s="9" t="str">
        <x:v>An owl</x:v>
      </x:c>
      <x:c r="H19" s="12"/>
      <x:c r="I19" s="2" t="str">
        <x:f>IF(H19="","",IF(H19=G19,1,0))</x:f>
      </x:c>
    </x:row>
    <x:row r="20" ht="63" customHeight="1">
      <x:c r="A20" s="2" t="n">
        <x:v>4</x:v>
      </x:c>
      <x:c r="B20" s="2" t="str">
        <x:v>M1</x:v>
      </x:c>
      <x:c r="C20" s="2" t="str">
        <x:v>Matching</x:v>
      </x:c>
      <x:c r="D20" s="9" t="str">
        <x:v>Story details</x:v>
      </x:c>
      <x:c r="E20" s="9" t="str">
        <x:v>House number 3</x:v>
      </x:c>
      <x:c r="F20" s="9" t="str">
        <x:v>a cat
an owl</x:v>
      </x:c>
      <x:c r="G20" s="9" t="str">
        <x:v>a cat</x:v>
      </x:c>
      <x:c r="H20" s="12"/>
      <x:c r="I20" s="2" t="str">
        <x:f>IF(H20="","",IF(H20=G20,1,0))</x:f>
      </x:c>
    </x:row>
    <x:row r="21" ht="63" customHeight="1">
      <x:c r="A21" s="2" t="n">
        <x:v>4</x:v>
      </x:c>
      <x:c r="B21" s="2" t="str">
        <x:v>M2</x:v>
      </x:c>
      <x:c r="C21" s="2" t="str">
        <x:v>Matching</x:v>
      </x:c>
      <x:c r="D21" s="9" t="str">
        <x:v>Story details</x:v>
      </x:c>
      <x:c r="E21" s="9" t="str">
        <x:v>House number 4</x:v>
      </x:c>
      <x:c r="F21" s="9" t="str">
        <x:v>a cat
an owl</x:v>
      </x:c>
      <x:c r="G21" s="9" t="str">
        <x:v>an owl</x:v>
      </x:c>
      <x:c r="H21" s="12"/>
      <x:c r="I21" s="2" t="str">
        <x:f>IF(H21="","",IF(H21=G21,1,0))</x:f>
      </x:c>
    </x:row>
    <x:row r="22" ht="63" customHeight="1">
      <x:c r="A22" s="2" t="n">
        <x:v>5</x:v>
      </x:c>
      <x:c r="B22" s="2" t="str">
        <x:v>Q1</x:v>
      </x:c>
      <x:c r="C22" s="2" t="str">
        <x:v>Multiple choice</x:v>
      </x:c>
      <x:c r="D22" s="9" t="str">
        <x:v>Find a detail</x:v>
      </x:c>
      <x:c r="E22" s="9" t="str">
        <x:v>What is the keychain in?</x:v>
      </x:c>
      <x:c r="F22" s="9" t="str">
        <x:v>A. A red bag
B. A wooden box
C. A silver tin</x:v>
      </x:c>
      <x:c r="G22" s="9" t="str">
        <x:v>A silver tin</x:v>
      </x:c>
      <x:c r="H22" s="12"/>
      <x:c r="I22" s="2" t="str">
        <x:f>IF(H22="","",IF(H22=G22,1,0))</x:f>
      </x:c>
    </x:row>
    <x:row r="23" ht="63" customHeight="1">
      <x:c r="A23" s="2" t="n">
        <x:v>5</x:v>
      </x:c>
      <x:c r="B23" s="2" t="str">
        <x:v>M1</x:v>
      </x:c>
      <x:c r="C23" s="2" t="str">
        <x:v>Matching</x:v>
      </x:c>
      <x:c r="D23" s="9" t="str">
        <x:v>Vocabulary</x:v>
      </x:c>
      <x:c r="E23" s="9" t="str">
        <x:v>A tin is</x:v>
      </x:c>
      <x:c r="F23" s="9" t="str">
        <x:v>a metal box
a bird’s rest spot</x:v>
      </x:c>
      <x:c r="G23" s="9" t="str">
        <x:v>a metal box</x:v>
      </x:c>
      <x:c r="H23" s="12"/>
      <x:c r="I23" s="2" t="str">
        <x:f>IF(H23="","",IF(H23=G23,1,0))</x:f>
      </x:c>
    </x:row>
    <x:row r="24" ht="63" customHeight="1">
      <x:c r="A24" s="2" t="n">
        <x:v>5</x:v>
      </x:c>
      <x:c r="B24" s="2" t="str">
        <x:v>M2</x:v>
      </x:c>
      <x:c r="C24" s="2" t="str">
        <x:v>Matching</x:v>
      </x:c>
      <x:c r="D24" s="9" t="str">
        <x:v>Vocabulary</x:v>
      </x:c>
      <x:c r="E24" s="9" t="str">
        <x:v>A perch is</x:v>
      </x:c>
      <x:c r="F24" s="9" t="str">
        <x:v>a metal box
a bird’s rest spot</x:v>
      </x:c>
      <x:c r="G24" s="9" t="str">
        <x:v>a bird’s rest spot</x:v>
      </x:c>
      <x:c r="H24" s="12"/>
      <x:c r="I24" s="2" t="str">
        <x:f>IF(H24="","",IF(H24=G24,1,0))</x:f>
      </x:c>
    </x:row>
    <x:row r="25" ht="63" customHeight="1">
      <x:c r="A25" s="2" t="n">
        <x:v>6</x:v>
      </x:c>
      <x:c r="B25" s="2" t="str">
        <x:v>Q1</x:v>
      </x:c>
      <x:c r="C25" s="2" t="str">
        <x:v>Multiple choice</x:v>
      </x:c>
      <x:c r="D25" s="9" t="str">
        <x:v>Deduction</x:v>
      </x:c>
      <x:c r="E25" s="9" t="str">
        <x:v>Which house has the keychain?</x:v>
      </x:c>
      <x:c r="F25" s="9" t="str">
        <x:v>House 1, House 2, House 3, House 4</x:v>
      </x:c>
      <x:c r="G25" s="9" t="str">
        <x:v>House 4</x:v>
      </x:c>
      <x:c r="H25" s="12"/>
      <x:c r="I25" s="2" t="str">
        <x:f>IF(H25="","",IF(H25=G25,1,0))</x:f>
      </x:c>
    </x:row>
    <x:row r="26" ht="63" customHeight="1">
      <x:c r="A26" s="2" t="n">
        <x:v>6</x:v>
      </x:c>
      <x:c r="B26" s="2" t="str">
        <x:v>M1</x:v>
      </x:c>
      <x:c r="C26" s="2" t="str">
        <x:v>Matching</x:v>
      </x:c>
      <x:c r="D26" s="9" t="str">
        <x:v>Clue details</x:v>
      </x:c>
      <x:c r="E26" s="9" t="str">
        <x:v>Light</x:v>
      </x:c>
      <x:c r="F26" s="9" t="str">
        <x:v>Purple
Three</x:v>
      </x:c>
      <x:c r="G26" s="9" t="str">
        <x:v>Purple</x:v>
      </x:c>
      <x:c r="H26" s="12"/>
      <x:c r="I26" s="2" t="str">
        <x:f>IF(H26="","",IF(H26=G26,1,0))</x:f>
      </x:c>
    </x:row>
    <x:row r="27" ht="63" customHeight="1">
      <x:c r="A27" s="2" t="n">
        <x:v>6</x:v>
      </x:c>
      <x:c r="B27" s="2" t="str">
        <x:v>M2</x:v>
      </x:c>
      <x:c r="C27" s="2" t="str">
        <x:v>Matching</x:v>
      </x:c>
      <x:c r="D27" s="9" t="str">
        <x:v>Clue details</x:v>
      </x:c>
      <x:c r="E27" s="9" t="str">
        <x:v>Pumpkins</x:v>
      </x:c>
      <x:c r="F27" s="9" t="str">
        <x:v>Purple
Three</x:v>
      </x:c>
      <x:c r="G27" s="9" t="str">
        <x:v>Three</x:v>
      </x:c>
      <x:c r="H27" s="12"/>
      <x:c r="I27" s="2" t="str">
        <x:f>IF(H27="","",IF(H27=G27,1,0))</x:f>
      </x:c>
    </x:row>
    <x:row r="28" ht="10" customHeight="1">
      <x:c r="A28" s="24"/>
      <x:c r="B28" s="24"/>
      <x:c r="C28" s="24"/>
      <x:c r="D28" s="25"/>
      <x:c r="E28" s="25"/>
      <x:c r="F28" s="25"/>
      <x:c r="G28" s="25"/>
      <x:c r="H28" s="25"/>
      <x:c r="I28" s="24"/>
    </x:row>
    <x:row r="29" ht="10" customHeight="1">
      <x:c r="A29" s="24"/>
      <x:c r="B29" s="24"/>
      <x:c r="C29" s="24"/>
      <x:c r="D29" s="25"/>
      <x:c r="E29" s="25"/>
      <x:c r="F29" s="25"/>
      <x:c r="G29" s="25"/>
      <x:c r="H29" s="25"/>
      <x:c r="I29" s="24"/>
    </x:row>
    <x:row r="30" ht="10" customHeight="1">
      <x:c r="A30" s="24"/>
      <x:c r="B30" s="24"/>
      <x:c r="C30" s="24"/>
      <x:c r="D30" s="25"/>
      <x:c r="E30" s="25"/>
      <x:c r="F30" s="25"/>
      <x:c r="G30" s="25"/>
      <x:c r="H30" s="25"/>
      <x:c r="I30" s="24"/>
    </x:row>
    <x:row r="31" ht="10" customHeight="1">
      <x:c r="A31" s="24"/>
      <x:c r="B31" s="24"/>
      <x:c r="C31" s="24"/>
      <x:c r="D31" s="25"/>
      <x:c r="E31" s="25"/>
      <x:c r="F31" s="25"/>
      <x:c r="G31" s="25"/>
      <x:c r="H31" s="25"/>
      <x:c r="I31" s="24"/>
    </x:row>
    <x:row r="32" ht="10" customHeight="1">
      <x:c r="A32" s="24"/>
      <x:c r="B32" s="24"/>
      <x:c r="C32" s="24"/>
      <x:c r="D32" s="25"/>
      <x:c r="E32" s="25"/>
      <x:c r="F32" s="25"/>
      <x:c r="G32" s="25"/>
      <x:c r="H32" s="25"/>
      <x:c r="I32" s="24"/>
    </x:row>
    <x:row r="33" ht="10" customHeight="1">
      <x:c r="A33" s="24"/>
      <x:c r="B33" s="24"/>
      <x:c r="C33" s="24"/>
      <x:c r="D33" s="25"/>
      <x:c r="E33" s="25"/>
      <x:c r="F33" s="25"/>
      <x:c r="G33" s="25"/>
      <x:c r="H33" s="25"/>
      <x:c r="I33" s="24"/>
    </x:row>
    <x:row r="34" ht="10" customHeight="1">
      <x:c r="A34" s="24"/>
      <x:c r="B34" s="24"/>
      <x:c r="C34" s="24"/>
      <x:c r="D34" s="25"/>
      <x:c r="E34" s="25"/>
      <x:c r="F34" s="25"/>
      <x:c r="G34" s="25"/>
      <x:c r="H34" s="25"/>
      <x:c r="I34" s="24"/>
    </x:row>
    <x:row r="35" ht="10" customHeight="1">
      <x:c r="A35" s="24"/>
      <x:c r="B35" s="24"/>
      <x:c r="C35" s="24"/>
      <x:c r="D35" s="25"/>
      <x:c r="E35" s="25"/>
      <x:c r="F35" s="25"/>
      <x:c r="G35" s="25"/>
      <x:c r="H35" s="25"/>
      <x:c r="I35" s="24"/>
    </x:row>
    <x:row r="36" ht="10" customHeight="1">
      <x:c r="A36" s="24"/>
      <x:c r="B36" s="24"/>
      <x:c r="C36" s="24"/>
      <x:c r="D36" s="25"/>
      <x:c r="E36" s="25"/>
      <x:c r="F36" s="25"/>
      <x:c r="G36" s="25"/>
      <x:c r="H36" s="25"/>
      <x:c r="I36" s="24"/>
    </x:row>
    <x:row r="37" ht="10" customHeight="1">
      <x:c r="A37" s="24"/>
      <x:c r="B37" s="24"/>
      <x:c r="C37" s="24"/>
      <x:c r="D37" s="25"/>
      <x:c r="E37" s="25"/>
      <x:c r="F37" s="25"/>
      <x:c r="G37" s="25"/>
      <x:c r="H37" s="25"/>
      <x:c r="I37" s="24"/>
    </x:row>
    <x:row r="38" ht="10" customHeight="1">
      <x:c r="A38" s="24"/>
      <x:c r="B38" s="24"/>
      <x:c r="C38" s="24"/>
      <x:c r="D38" s="25"/>
      <x:c r="E38" s="25"/>
      <x:c r="F38" s="25"/>
      <x:c r="G38" s="25"/>
      <x:c r="H38" s="25"/>
      <x:c r="I38" s="24"/>
    </x:row>
    <x:row r="39" ht="10" customHeight="1">
      <x:c r="A39" s="24"/>
      <x:c r="B39" s="24"/>
      <x:c r="C39" s="24"/>
      <x:c r="D39" s="25"/>
      <x:c r="E39" s="25"/>
      <x:c r="F39" s="25"/>
      <x:c r="G39" s="25"/>
      <x:c r="H39" s="25"/>
      <x:c r="I39" s="24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</x:sheetData>
  <x:conditionalFormatting sqref="I10:I39">
    <x:cfRule type="expression" dxfId="0" priority="1">
      <x:formula>AND(H10&lt;&gt;"",I10=0)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E356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25" hidden="0" customWidth="1"/>
    <x:col min="5" max="5" width="54" hidden="0" customWidth="1"/>
    <x:col min="6" max="6" width="54" hidden="0" customWidth="1"/>
    <x:col min="7" max="7" width="41" hidden="0" customWidth="1"/>
    <x:col min="8" max="8" width="41" hidden="0" customWidth="1"/>
    <x:col min="9" max="9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Level AA — Grades 3–4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Student ID</x:v>
      </x:c>
      <x:c r="B4" s="11"/>
      <x:c r="C4" s="2" t="str">
        <x:v>Date</x:v>
      </x:c>
      <x:c r="D4" s="11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 t="str">
        <x:v>Marks</x:v>
      </x:c>
      <x:c r="B6" s="2" t="str">
        <x:f>IF(COUNTA(H10:H39)=0,"",SUM(I10:I39))</x:f>
      </x:c>
      <x:c r="C6" s="2" t="str">
        <x:v>out of 30</x:v>
      </x:c>
      <x:c r="D6" s="2" t="str">
        <x:v>Answered</x:v>
      </x:c>
      <x:c r="E6" s="2" t="n">
        <x:f>COUNTA(H10:H39)</x:f>
        <x:v>0</x:v>
      </x:c>
      <x:c r="F6" s="2" t="str">
        <x:v>Paste student responses into yellow cells.</x:v>
      </x:c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 t="str">
        <x:v>One mark per item. Blank responses remain unmarked.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8" t="str">
        <x:v>Section</x:v>
      </x:c>
      <x:c r="B9" s="8" t="str">
        <x:v>Item</x:v>
      </x:c>
      <x:c r="C9" s="8" t="str">
        <x:v>Type</x:v>
      </x:c>
      <x:c r="D9" s="8" t="str">
        <x:v>Skill</x:v>
      </x:c>
      <x:c r="E9" s="8" t="str">
        <x:v>Question / prompt</x:v>
      </x:c>
      <x:c r="F9" s="8" t="str">
        <x:v>Choices / matching bank</x:v>
      </x:c>
      <x:c r="G9" s="8" t="str">
        <x:v>Correct response</x:v>
      </x:c>
      <x:c r="H9" s="8" t="str">
        <x:v>Student response</x:v>
      </x:c>
      <x:c r="I9" s="8" t="str">
        <x:v>Mark</x:v>
      </x:c>
    </x:row>
    <x:row r="10" ht="63" customHeight="1">
      <x:c r="A10" s="2" t="n">
        <x:v>1</x:v>
      </x:c>
      <x:c r="B10" s="2" t="str">
        <x:v>Q1</x:v>
      </x:c>
      <x:c r="C10" s="2" t="str">
        <x:v>Multiple choice</x:v>
      </x:c>
      <x:c r="D10" s="9" t="str">
        <x:v>Main idea</x:v>
      </x:c>
      <x:c r="E10" s="9" t="str">
        <x:v>What is the goal of the search?</x:v>
      </x:c>
      <x:c r="F10" s="9" t="str">
        <x:v>A. Collect eight pumpkins
B. Find the keychain and win a voucher
C. Visit the zoo</x:v>
      </x:c>
      <x:c r="G10" s="9" t="str">
        <x:v>Find the keychain and win a voucher</x:v>
      </x:c>
      <x:c r="H10" s="12"/>
      <x:c r="I10" s="2" t="str">
        <x:f>IF(H10="","",IF(H10=G10,1,0))</x:f>
      </x:c>
    </x:row>
    <x:row r="11" ht="63" customHeight="1">
      <x:c r="A11" s="2" t="n">
        <x:v>1</x:v>
      </x:c>
      <x:c r="B11" s="2" t="str">
        <x:v>Q2</x:v>
      </x:c>
      <x:c r="C11" s="2" t="str">
        <x:v>Multiple choice</x:v>
      </x:c>
      <x:c r="D11" s="9" t="str">
        <x:v>Find a detail</x:v>
      </x:c>
      <x:c r="E11" s="9" t="str">
        <x:v>How many houses are on the map?</x:v>
      </x:c>
      <x:c r="F11" s="9" t="str">
        <x:v>A. Four
B. Eight
C. Ten</x:v>
      </x:c>
      <x:c r="G11" s="9" t="str">
        <x:v>Eight</x:v>
      </x:c>
      <x:c r="H11" s="12"/>
      <x:c r="I11" s="2" t="str">
        <x:f>IF(H11="","",IF(H11=G11,1,0))</x:f>
      </x:c>
    </x:row>
    <x:row r="12" ht="63" customHeight="1">
      <x:c r="A12" s="2" t="n">
        <x:v>1</x:v>
      </x:c>
      <x:c r="B12" s="2" t="str">
        <x:v>M1</x:v>
      </x:c>
      <x:c r="C12" s="2" t="str">
        <x:v>Matching</x:v>
      </x:c>
      <x:c r="D12" s="9" t="str">
        <x:v>Story details</x:v>
      </x:c>
      <x:c r="E12" s="9" t="str">
        <x:v>Setting</x:v>
      </x:c>
      <x:c r="F12" s="9" t="str">
        <x:v>a book voucher
High Park neighbourhood
8 houses</x:v>
      </x:c>
      <x:c r="G12" s="9" t="str">
        <x:v>High Park neighbourhood</x:v>
      </x:c>
      <x:c r="H12" s="12"/>
      <x:c r="I12" s="2" t="str">
        <x:f>IF(H12="","",IF(H12=G12,1,0))</x:f>
      </x:c>
    </x:row>
    <x:row r="13" ht="63" customHeight="1">
      <x:c r="A13" s="2" t="n">
        <x:v>1</x:v>
      </x:c>
      <x:c r="B13" s="2" t="str">
        <x:v>M2</x:v>
      </x:c>
      <x:c r="C13" s="2" t="str">
        <x:v>Matching</x:v>
      </x:c>
      <x:c r="D13" s="9" t="str">
        <x:v>Story details</x:v>
      </x:c>
      <x:c r="E13" s="9" t="str">
        <x:v>Map</x:v>
      </x:c>
      <x:c r="F13" s="9" t="str">
        <x:v>a book voucher
High Park neighbourhood
8 houses</x:v>
      </x:c>
      <x:c r="G13" s="9" t="str">
        <x:v>8 houses</x:v>
      </x:c>
      <x:c r="H13" s="12"/>
      <x:c r="I13" s="2" t="str">
        <x:f>IF(H13="","",IF(H13=G13,1,0))</x:f>
      </x:c>
    </x:row>
    <x:row r="14" ht="63" customHeight="1">
      <x:c r="A14" s="2" t="n">
        <x:v>1</x:v>
      </x:c>
      <x:c r="B14" s="2" t="str">
        <x:v>M3</x:v>
      </x:c>
      <x:c r="C14" s="2" t="str">
        <x:v>Matching</x:v>
      </x:c>
      <x:c r="D14" s="9" t="str">
        <x:v>Story details</x:v>
      </x:c>
      <x:c r="E14" s="9" t="str">
        <x:v>Prize</x:v>
      </x:c>
      <x:c r="F14" s="9" t="str">
        <x:v>a book voucher
High Park neighbourhood
8 houses</x:v>
      </x:c>
      <x:c r="G14" s="9" t="str">
        <x:v>a book voucher</x:v>
      </x:c>
      <x:c r="H14" s="12"/>
      <x:c r="I14" s="2" t="str">
        <x:f>IF(H14="","",IF(H14=G14,1,0))</x:f>
      </x:c>
    </x:row>
    <x:row r="15" ht="63" customHeight="1">
      <x:c r="A15" s="2" t="n">
        <x:v>2</x:v>
      </x:c>
      <x:c r="B15" s="2" t="str">
        <x:v>Q1</x:v>
      </x:c>
      <x:c r="C15" s="2" t="str">
        <x:v>Multiple choice</x:v>
      </x:c>
      <x:c r="D15" s="9" t="str">
        <x:v>Connect details</x:v>
      </x:c>
      <x:c r="E15" s="9" t="str">
        <x:v>Which details appear in the first two clues?</x:v>
      </x:c>
      <x:c r="F15" s="9" t="str">
        <x:v>A. A purple light and a mat
B. An amber light and a bell
C. A blue light and a ribbon</x:v>
      </x:c>
      <x:c r="G15" s="9" t="str">
        <x:v>A purple light and a mat</x:v>
      </x:c>
      <x:c r="H15" s="12"/>
      <x:c r="I15" s="2" t="str">
        <x:f>IF(H15="","",IF(H15=G15,1,0))</x:f>
      </x:c>
    </x:row>
    <x:row r="16" ht="63" customHeight="1">
      <x:c r="A16" s="2" t="n">
        <x:v>2</x:v>
      </x:c>
      <x:c r="B16" s="2" t="str">
        <x:v>Q2</x:v>
      </x:c>
      <x:c r="C16" s="2" t="str">
        <x:v>Multiple choice</x:v>
      </x:c>
      <x:c r="D16" s="9" t="str">
        <x:v>Find a detail</x:v>
      </x:c>
      <x:c r="E16" s="9" t="str">
        <x:v>Who recorded the clue?</x:v>
      </x:c>
      <x:c r="F16" s="9" t="str">
        <x:v>A. Theo
B. Noor
C. Ben</x:v>
      </x:c>
      <x:c r="G16" s="9" t="str">
        <x:v>Noor</x:v>
      </x:c>
      <x:c r="H16" s="12"/>
      <x:c r="I16" s="2" t="str">
        <x:f>IF(H16="","",IF(H16=G16,1,0))</x:f>
      </x:c>
    </x:row>
    <x:row r="17" ht="63" customHeight="1">
      <x:c r="A17" s="2" t="n">
        <x:v>2</x:v>
      </x:c>
      <x:c r="B17" s="2" t="str">
        <x:v>M1</x:v>
      </x:c>
      <x:c r="C17" s="2" t="str">
        <x:v>Matching</x:v>
      </x:c>
      <x:c r="D17" s="9" t="str">
        <x:v>Story details</x:v>
      </x:c>
      <x:c r="E17" s="9" t="str">
        <x:v>House number 1</x:v>
      </x:c>
      <x:c r="F17" s="9" t="str">
        <x:v>cat and purple light
ghost and blue light
spider and purple light</x:v>
      </x:c>
      <x:c r="G17" s="9" t="str">
        <x:v>ghost and blue light</x:v>
      </x:c>
      <x:c r="H17" s="12"/>
      <x:c r="I17" s="2" t="str">
        <x:f>IF(H17="","",IF(H17=G17,1,0))</x:f>
      </x:c>
    </x:row>
    <x:row r="18" ht="63" customHeight="1">
      <x:c r="A18" s="2" t="n">
        <x:v>2</x:v>
      </x:c>
      <x:c r="B18" s="2" t="str">
        <x:v>M2</x:v>
      </x:c>
      <x:c r="C18" s="2" t="str">
        <x:v>Matching</x:v>
      </x:c>
      <x:c r="D18" s="9" t="str">
        <x:v>Story details</x:v>
      </x:c>
      <x:c r="E18" s="9" t="str">
        <x:v>House number 4</x:v>
      </x:c>
      <x:c r="F18" s="9" t="str">
        <x:v>cat and purple light
ghost and blue light
spider and purple light</x:v>
      </x:c>
      <x:c r="G18" s="9" t="str">
        <x:v>spider and purple light</x:v>
      </x:c>
      <x:c r="H18" s="12"/>
      <x:c r="I18" s="2" t="str">
        <x:f>IF(H18="","",IF(H18=G18,1,0))</x:f>
      </x:c>
    </x:row>
    <x:row r="19" ht="63" customHeight="1">
      <x:c r="A19" s="2" t="n">
        <x:v>2</x:v>
      </x:c>
      <x:c r="B19" s="2" t="str">
        <x:v>M3</x:v>
      </x:c>
      <x:c r="C19" s="2" t="str">
        <x:v>Matching</x:v>
      </x:c>
      <x:c r="D19" s="9" t="str">
        <x:v>Story details</x:v>
      </x:c>
      <x:c r="E19" s="9" t="str">
        <x:v>House number 7</x:v>
      </x:c>
      <x:c r="F19" s="9" t="str">
        <x:v>cat and purple light
ghost and blue light
spider and purple light</x:v>
      </x:c>
      <x:c r="G19" s="9" t="str">
        <x:v>cat and purple light</x:v>
      </x:c>
      <x:c r="H19" s="12"/>
      <x:c r="I19" s="2" t="str">
        <x:f>IF(H19="","",IF(H19=G19,1,0))</x:f>
      </x:c>
    </x:row>
    <x:row r="20" ht="63" customHeight="1">
      <x:c r="A20" s="2" t="n">
        <x:v>3</x:v>
      </x:c>
      <x:c r="B20" s="2" t="str">
        <x:v>Q1</x:v>
      </x:c>
      <x:c r="C20" s="2" t="str">
        <x:v>Multiple choice</x:v>
      </x:c>
      <x:c r="D20" s="9" t="str">
        <x:v>Comprehension</x:v>
      </x:c>
      <x:c r="E20" s="9" t="str">
        <x:v>How many pumpkins does clue three describe?</x:v>
      </x:c>
      <x:c r="F20" s="9" t="str">
        <x:v>A. Two
B. Three
C. Four</x:v>
      </x:c>
      <x:c r="G20" s="9" t="str">
        <x:v>Three</x:v>
      </x:c>
      <x:c r="H20" s="12"/>
      <x:c r="I20" s="2" t="str">
        <x:f>IF(H20="","",IF(H20=G20,1,0))</x:f>
      </x:c>
    </x:row>
    <x:row r="21" ht="63" customHeight="1">
      <x:c r="A21" s="2" t="n">
        <x:v>3</x:v>
      </x:c>
      <x:c r="B21" s="2" t="str">
        <x:v>Q2</x:v>
      </x:c>
      <x:c r="C21" s="2" t="str">
        <x:v>Multiple choice</x:v>
      </x:c>
      <x:c r="D21" s="9" t="str">
        <x:v>Vocabulary in context</x:v>
      </x:c>
      <x:c r="E21" s="9" t="str">
        <x:v>What does “carved” mean here?</x:v>
      </x:c>
      <x:c r="F21" s="9" t="str">
        <x:v>A. Cut into a shape or pattern
B. Covered with a cloth
C. Made from paper</x:v>
      </x:c>
      <x:c r="G21" s="9" t="str">
        <x:v>Cut into a shape or pattern</x:v>
      </x:c>
      <x:c r="H21" s="12"/>
      <x:c r="I21" s="2" t="str">
        <x:f>IF(H21="","",IF(H21=G21,1,0))</x:f>
      </x:c>
    </x:row>
    <x:row r="22" ht="63" customHeight="1">
      <x:c r="A22" s="2" t="n">
        <x:v>3</x:v>
      </x:c>
      <x:c r="B22" s="2" t="str">
        <x:v>M1</x:v>
      </x:c>
      <x:c r="C22" s="2" t="str">
        <x:v>Matching</x:v>
      </x:c>
      <x:c r="D22" s="9" t="str">
        <x:v>Cause and effect</x:v>
      </x:c>
      <x:c r="E22" s="9" t="str">
        <x:v>House 2: action</x:v>
      </x:c>
      <x:c r="F22" s="9" t="str">
        <x:v>stepped onto a mat
pressed a bell
pulled a ribbon</x:v>
      </x:c>
      <x:c r="G22" s="9" t="str">
        <x:v>pressed a bell</x:v>
      </x:c>
      <x:c r="H22" s="12"/>
      <x:c r="I22" s="2" t="str">
        <x:f>IF(H22="","",IF(H22=G22,1,0))</x:f>
      </x:c>
    </x:row>
    <x:row r="23" ht="63" customHeight="1">
      <x:c r="A23" s="2" t="n">
        <x:v>3</x:v>
      </x:c>
      <x:c r="B23" s="2" t="str">
        <x:v>M2</x:v>
      </x:c>
      <x:c r="C23" s="2" t="str">
        <x:v>Matching</x:v>
      </x:c>
      <x:c r="D23" s="9" t="str">
        <x:v>Cause and effect</x:v>
      </x:c>
      <x:c r="E23" s="9" t="str">
        <x:v>House 4: action</x:v>
      </x:c>
      <x:c r="F23" s="9" t="str">
        <x:v>stepped onto a mat
pressed a bell
pulled a ribbon</x:v>
      </x:c>
      <x:c r="G23" s="9" t="str">
        <x:v>pulled a ribbon</x:v>
      </x:c>
      <x:c r="H23" s="12"/>
      <x:c r="I23" s="2" t="str">
        <x:f>IF(H23="","",IF(H23=G23,1,0))</x:f>
      </x:c>
    </x:row>
    <x:row r="24" ht="63" customHeight="1">
      <x:c r="A24" s="2" t="n">
        <x:v>3</x:v>
      </x:c>
      <x:c r="B24" s="2" t="str">
        <x:v>M3</x:v>
      </x:c>
      <x:c r="C24" s="2" t="str">
        <x:v>Matching</x:v>
      </x:c>
      <x:c r="D24" s="9" t="str">
        <x:v>Cause and effect</x:v>
      </x:c>
      <x:c r="E24" s="9" t="str">
        <x:v>House 3: action</x:v>
      </x:c>
      <x:c r="F24" s="9" t="str">
        <x:v>stepped onto a mat
pressed a bell
pulled a ribbon</x:v>
      </x:c>
      <x:c r="G24" s="9" t="str">
        <x:v>stepped onto a mat</x:v>
      </x:c>
      <x:c r="H24" s="12"/>
      <x:c r="I24" s="2" t="str">
        <x:f>IF(H24="","",IF(H24=G24,1,0))</x:f>
      </x:c>
    </x:row>
    <x:row r="25" ht="63" customHeight="1">
      <x:c r="A25" s="2" t="n">
        <x:v>4</x:v>
      </x:c>
      <x:c r="B25" s="2" t="str">
        <x:v>Q1</x:v>
      </x:c>
      <x:c r="C25" s="2" t="str">
        <x:v>Multiple choice</x:v>
      </x:c>
      <x:c r="D25" s="9" t="str">
        <x:v>Interpret language</x:v>
      </x:c>
      <x:c r="E25" s="9" t="str">
        <x:v>What does “feathered watcher” describe?</x:v>
      </x:c>
      <x:c r="F25" s="9" t="str">
        <x:v>A. A cat
B. An owl
C. A ghost</x:v>
      </x:c>
      <x:c r="G25" s="9" t="str">
        <x:v>An owl</x:v>
      </x:c>
      <x:c r="H25" s="12"/>
      <x:c r="I25" s="2" t="str">
        <x:f>IF(H25="","",IF(H25=G25,1,0))</x:f>
      </x:c>
    </x:row>
    <x:row r="26" ht="63" customHeight="1">
      <x:c r="A26" s="2" t="n">
        <x:v>4</x:v>
      </x:c>
      <x:c r="B26" s="2" t="str">
        <x:v>Q2</x:v>
      </x:c>
      <x:c r="C26" s="2" t="str">
        <x:v>Multiple choice</x:v>
      </x:c>
      <x:c r="D26" s="9" t="str">
        <x:v>Find a detail</x:v>
      </x:c>
      <x:c r="E26" s="9" t="str">
        <x:v>Which sound is named in clue four?</x:v>
      </x:c>
      <x:c r="F26" s="9" t="str">
        <x:v>A. Hoo!
B. Meow!
C. Boo!</x:v>
      </x:c>
      <x:c r="G26" s="9" t="str">
        <x:v>Hoo!</x:v>
      </x:c>
      <x:c r="H26" s="12"/>
      <x:c r="I26" s="2" t="str">
        <x:f>IF(H26="","",IF(H26=G26,1,0))</x:f>
      </x:c>
    </x:row>
    <x:row r="27" ht="63" customHeight="1">
      <x:c r="A27" s="2" t="n">
        <x:v>4</x:v>
      </x:c>
      <x:c r="B27" s="2" t="str">
        <x:v>M1</x:v>
      </x:c>
      <x:c r="C27" s="2" t="str">
        <x:v>Matching</x:v>
      </x:c>
      <x:c r="D27" s="9" t="str">
        <x:v>Story details</x:v>
      </x:c>
      <x:c r="E27" s="9" t="str">
        <x:v>House 3: movement</x:v>
      </x:c>
      <x:c r="F27" s="9" t="str">
        <x:v>Hoo!
lifted its wings
two</x:v>
      </x:c>
      <x:c r="G27" s="9" t="str">
        <x:v>lifted its wings</x:v>
      </x:c>
      <x:c r="H27" s="12"/>
      <x:c r="I27" s="2" t="str">
        <x:f>IF(H27="","",IF(H27=G27,1,0))</x:f>
      </x:c>
    </x:row>
    <x:row r="28" ht="63" customHeight="1">
      <x:c r="A28" s="2" t="n">
        <x:v>4</x:v>
      </x:c>
      <x:c r="B28" s="2" t="str">
        <x:v>M2</x:v>
      </x:c>
      <x:c r="C28" s="2" t="str">
        <x:v>Matching</x:v>
      </x:c>
      <x:c r="D28" s="9" t="str">
        <x:v>Story details</x:v>
      </x:c>
      <x:c r="E28" s="9" t="str">
        <x:v>House 5: pumpkin count</x:v>
      </x:c>
      <x:c r="F28" s="9" t="str">
        <x:v>Hoo!
lifted its wings
two</x:v>
      </x:c>
      <x:c r="G28" s="9" t="str">
        <x:v>two</x:v>
      </x:c>
      <x:c r="H28" s="12"/>
      <x:c r="I28" s="2" t="str">
        <x:f>IF(H28="","",IF(H28=G28,1,0))</x:f>
      </x:c>
    </x:row>
    <x:row r="29" ht="63" customHeight="1">
      <x:c r="A29" s="2" t="n">
        <x:v>4</x:v>
      </x:c>
      <x:c r="B29" s="2" t="str">
        <x:v>M3</x:v>
      </x:c>
      <x:c r="C29" s="2" t="str">
        <x:v>Matching</x:v>
      </x:c>
      <x:c r="D29" s="9" t="str">
        <x:v>Story details</x:v>
      </x:c>
      <x:c r="E29" s="9" t="str">
        <x:v>House 6: sound</x:v>
      </x:c>
      <x:c r="F29" s="9" t="str">
        <x:v>Hoo!
lifted its wings
two</x:v>
      </x:c>
      <x:c r="G29" s="9" t="str">
        <x:v>Hoo!</x:v>
      </x:c>
      <x:c r="H29" s="12"/>
      <x:c r="I29" s="2" t="str">
        <x:f>IF(H29="","",IF(H29=G29,1,0))</x:f>
      </x:c>
    </x:row>
    <x:row r="30" ht="63" customHeight="1">
      <x:c r="A30" s="2" t="n">
        <x:v>5</x:v>
      </x:c>
      <x:c r="B30" s="2" t="str">
        <x:v>Q1</x:v>
      </x:c>
      <x:c r="C30" s="2" t="str">
        <x:v>Multiple choice</x:v>
      </x:c>
      <x:c r="D30" s="9" t="str">
        <x:v>Find details</x:v>
      </x:c>
      <x:c r="E30" s="9" t="str">
        <x:v>What two details does the last clue give?</x:v>
      </x:c>
      <x:c r="F30" s="9" t="str">
        <x:v>A. A street name and a time
B. A container and its position
C. A costume and a prize</x:v>
      </x:c>
      <x:c r="G30" s="9" t="str">
        <x:v>A container and its position</x:v>
      </x:c>
      <x:c r="H30" s="12"/>
      <x:c r="I30" s="2" t="str">
        <x:f>IF(H30="","",IF(H30=G30,1,0))</x:f>
      </x:c>
    </x:row>
    <x:row r="31" ht="63" customHeight="1">
      <x:c r="A31" s="2" t="n">
        <x:v>5</x:v>
      </x:c>
      <x:c r="B31" s="2" t="str">
        <x:v>Q2</x:v>
      </x:c>
      <x:c r="C31" s="2" t="str">
        <x:v>Multiple choice</x:v>
      </x:c>
      <x:c r="D31" s="9" t="str">
        <x:v>Vocabulary</x:v>
      </x:c>
      <x:c r="E31" s="9" t="str">
        <x:v>Where is “beneath the perch”?</x:v>
      </x:c>
      <x:c r="F31" s="9" t="str">
        <x:v>A. Under the perch
B. Above the porch
C. Across the road</x:v>
      </x:c>
      <x:c r="G31" s="9" t="str">
        <x:v>Under the perch</x:v>
      </x:c>
      <x:c r="H31" s="12"/>
      <x:c r="I31" s="2" t="str">
        <x:f>IF(H31="","",IF(H31=G31,1,0))</x:f>
      </x:c>
    </x:row>
    <x:row r="32" ht="63" customHeight="1">
      <x:c r="A32" s="2" t="n">
        <x:v>5</x:v>
      </x:c>
      <x:c r="B32" s="2" t="str">
        <x:v>M1</x:v>
      </x:c>
      <x:c r="C32" s="2" t="str">
        <x:v>Matching</x:v>
      </x:c>
      <x:c r="D32" s="9" t="str">
        <x:v>Story details</x:v>
      </x:c>
      <x:c r="E32" s="9" t="str">
        <x:v>House 3: container</x:v>
      </x:c>
      <x:c r="F32" s="9" t="str">
        <x:v>under
wooden box
silver tin</x:v>
      </x:c>
      <x:c r="G32" s="9" t="str">
        <x:v>wooden box</x:v>
      </x:c>
      <x:c r="H32" s="12"/>
      <x:c r="I32" s="2" t="str">
        <x:f>IF(H32="","",IF(H32=G32,1,0))</x:f>
      </x:c>
    </x:row>
    <x:row r="33" ht="63" customHeight="1">
      <x:c r="A33" s="2" t="n">
        <x:v>5</x:v>
      </x:c>
      <x:c r="B33" s="2" t="str">
        <x:v>M2</x:v>
      </x:c>
      <x:c r="C33" s="2" t="str">
        <x:v>Matching</x:v>
      </x:c>
      <x:c r="D33" s="9" t="str">
        <x:v>Story details</x:v>
      </x:c>
      <x:c r="E33" s="9" t="str">
        <x:v>House 6: container</x:v>
      </x:c>
      <x:c r="F33" s="9" t="str">
        <x:v>under
wooden box
silver tin</x:v>
      </x:c>
      <x:c r="G33" s="9" t="str">
        <x:v>silver tin</x:v>
      </x:c>
      <x:c r="H33" s="12"/>
      <x:c r="I33" s="2" t="str">
        <x:f>IF(H33="","",IF(H33=G33,1,0))</x:f>
      </x:c>
    </x:row>
    <x:row r="34" ht="63" customHeight="1">
      <x:c r="A34" s="2" t="n">
        <x:v>5</x:v>
      </x:c>
      <x:c r="B34" s="2" t="str">
        <x:v>M3</x:v>
      </x:c>
      <x:c r="C34" s="2" t="str">
        <x:v>Matching</x:v>
      </x:c>
      <x:c r="D34" s="9" t="str">
        <x:v>Story details</x:v>
      </x:c>
      <x:c r="E34" s="9" t="str">
        <x:v>Beneath means</x:v>
      </x:c>
      <x:c r="F34" s="9" t="str">
        <x:v>under
wooden box
silver tin</x:v>
      </x:c>
      <x:c r="G34" s="9" t="str">
        <x:v>under</x:v>
      </x:c>
      <x:c r="H34" s="12"/>
      <x:c r="I34" s="2" t="str">
        <x:f>IF(H34="","",IF(H34=G34,1,0))</x:f>
      </x:c>
    </x:row>
    <x:row r="35" ht="63" customHeight="1">
      <x:c r="A35" s="2" t="n">
        <x:v>6</x:v>
      </x:c>
      <x:c r="B35" s="2" t="str">
        <x:v>Q1</x:v>
      </x:c>
      <x:c r="C35" s="2" t="str">
        <x:v>Multiple choice</x:v>
      </x:c>
      <x:c r="D35" s="9" t="str">
        <x:v>Deduction</x:v>
      </x:c>
      <x:c r="E35" s="9" t="str">
        <x:v>Which house fits all five clues?</x:v>
      </x:c>
      <x:c r="F35" s="9" t="str">
        <x:v>House 1, House 2, House 3, House 4, House 5, House 6, House 7, House 8</x:v>
      </x:c>
      <x:c r="G35" s="9" t="str">
        <x:v>House 6</x:v>
      </x:c>
      <x:c r="H35" s="12"/>
      <x:c r="I35" s="2" t="str">
        <x:f>IF(H35="","",IF(H35=G35,1,0))</x:f>
      </x:c>
    </x:row>
    <x:row r="36" ht="63" customHeight="1">
      <x:c r="A36" s="2" t="n">
        <x:v>6</x:v>
      </x:c>
      <x:c r="B36" s="2" t="str">
        <x:v>Q2</x:v>
      </x:c>
      <x:c r="C36" s="2" t="str">
        <x:v>Multiple choice</x:v>
      </x:c>
      <x:c r="D36" s="9" t="str">
        <x:v>Use evidence</x:v>
      </x:c>
      <x:c r="E36" s="9" t="str">
        <x:v>What is the exact hiding place?</x:v>
      </x:c>
      <x:c r="F36" s="9" t="str">
        <x:v>A. Inside the silver tin beneath the owl’s perch
B. Inside a wooden box
C. Inside a carved pumpkin</x:v>
      </x:c>
      <x:c r="G36" s="9" t="str">
        <x:v>Inside the silver tin beneath the owl’s perch</x:v>
      </x:c>
      <x:c r="H36" s="12"/>
      <x:c r="I36" s="2" t="str">
        <x:f>IF(H36="","",IF(H36=G36,1,0))</x:f>
      </x:c>
    </x:row>
    <x:row r="37" ht="63" customHeight="1">
      <x:c r="A37" s="2" t="n">
        <x:v>6</x:v>
      </x:c>
      <x:c r="B37" s="2" t="str">
        <x:v>M1</x:v>
      </x:c>
      <x:c r="C37" s="2" t="str">
        <x:v>Matching</x:v>
      </x:c>
      <x:c r="D37" s="9" t="str">
        <x:v>Clue details</x:v>
      </x:c>
      <x:c r="E37" s="9" t="str">
        <x:v>The colour clue</x:v>
      </x:c>
      <x:c r="F37" s="9" t="str">
        <x:v>Three carved pumpkins
Purple porch light
Walk onto the mat</x:v>
      </x:c>
      <x:c r="G37" s="9" t="str">
        <x:v>Purple porch light</x:v>
      </x:c>
      <x:c r="H37" s="12"/>
      <x:c r="I37" s="2" t="str">
        <x:f>IF(H37="","",IF(H37=G37,1,0))</x:f>
      </x:c>
    </x:row>
    <x:row r="38" ht="63" customHeight="1">
      <x:c r="A38" s="2" t="n">
        <x:v>6</x:v>
      </x:c>
      <x:c r="B38" s="2" t="str">
        <x:v>M2</x:v>
      </x:c>
      <x:c r="C38" s="2" t="str">
        <x:v>Matching</x:v>
      </x:c>
      <x:c r="D38" s="9" t="str">
        <x:v>Clue details</x:v>
      </x:c>
      <x:c r="E38" s="9" t="str">
        <x:v>The action clue</x:v>
      </x:c>
      <x:c r="F38" s="9" t="str">
        <x:v>Three carved pumpkins
Purple porch light
Walk onto the mat</x:v>
      </x:c>
      <x:c r="G38" s="9" t="str">
        <x:v>Walk onto the mat</x:v>
      </x:c>
      <x:c r="H38" s="12"/>
      <x:c r="I38" s="2" t="str">
        <x:f>IF(H38="","",IF(H38=G38,1,0))</x:f>
      </x:c>
    </x:row>
    <x:row r="39" ht="63" customHeight="1">
      <x:c r="A39" s="2" t="n">
        <x:v>6</x:v>
      </x:c>
      <x:c r="B39" s="2" t="str">
        <x:v>M3</x:v>
      </x:c>
      <x:c r="C39" s="2" t="str">
        <x:v>Matching</x:v>
      </x:c>
      <x:c r="D39" s="9" t="str">
        <x:v>Clue details</x:v>
      </x:c>
      <x:c r="E39" s="9" t="str">
        <x:v>The quantity clue</x:v>
      </x:c>
      <x:c r="F39" s="9" t="str">
        <x:v>Three carved pumpkins
Purple porch light
Walk onto the mat</x:v>
      </x:c>
      <x:c r="G39" s="9" t="str">
        <x:v>Three carved pumpkins</x:v>
      </x:c>
      <x:c r="H39" s="12"/>
      <x:c r="I39" s="2" t="str">
        <x:f>IF(H39="","",IF(H39=G39,1,0))</x:f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</x:sheetData>
  <x:conditionalFormatting sqref="I10:I39">
    <x:cfRule type="expression" dxfId="1" priority="1">
      <x:formula>AND(H10&lt;&gt;"",I10=0)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E356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25" hidden="0" customWidth="1"/>
    <x:col min="5" max="5" width="54" hidden="0" customWidth="1"/>
    <x:col min="6" max="6" width="54" hidden="0" customWidth="1"/>
    <x:col min="7" max="7" width="41" hidden="0" customWidth="1"/>
    <x:col min="8" max="8" width="41" hidden="0" customWidth="1"/>
    <x:col min="9" max="9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Level AAA — Grades 5–6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Student ID</x:v>
      </x:c>
      <x:c r="B4" s="11"/>
      <x:c r="C4" s="2" t="str">
        <x:v>Date</x:v>
      </x:c>
      <x:c r="D4" s="11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 t="str">
        <x:v>Marks</x:v>
      </x:c>
      <x:c r="B6" s="2" t="str">
        <x:f>IF(COUNTA(H10:H39)=0,"",SUM(I10:I39))</x:f>
      </x:c>
      <x:c r="C6" s="2" t="str">
        <x:v>out of 30</x:v>
      </x:c>
      <x:c r="D6" s="2" t="str">
        <x:v>Answered</x:v>
      </x:c>
      <x:c r="E6" s="2" t="n">
        <x:f>COUNTA(H10:H39)</x:f>
        <x:v>0</x:v>
      </x:c>
      <x:c r="F6" s="2" t="str">
        <x:v>Paste student responses into yellow cells.</x:v>
      </x:c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 t="str">
        <x:v>One mark per item. Blank responses remain unmarked.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8" t="str">
        <x:v>Section</x:v>
      </x:c>
      <x:c r="B9" s="8" t="str">
        <x:v>Item</x:v>
      </x:c>
      <x:c r="C9" s="8" t="str">
        <x:v>Type</x:v>
      </x:c>
      <x:c r="D9" s="8" t="str">
        <x:v>Skill</x:v>
      </x:c>
      <x:c r="E9" s="8" t="str">
        <x:v>Question / prompt</x:v>
      </x:c>
      <x:c r="F9" s="8" t="str">
        <x:v>Choices / matching bank</x:v>
      </x:c>
      <x:c r="G9" s="8" t="str">
        <x:v>Correct response</x:v>
      </x:c>
      <x:c r="H9" s="8" t="str">
        <x:v>Student response</x:v>
      </x:c>
      <x:c r="I9" s="8" t="str">
        <x:v>Mark</x:v>
      </x:c>
    </x:row>
    <x:row r="10" ht="63" customHeight="1">
      <x:c r="A10" s="2" t="n">
        <x:v>1</x:v>
      </x:c>
      <x:c r="B10" s="2" t="str">
        <x:v>Q1</x:v>
      </x:c>
      <x:c r="C10" s="2" t="str">
        <x:v>Multiple choice</x:v>
      </x:c>
      <x:c r="D10" s="9" t="str">
        <x:v>Identify a detail</x:v>
      </x:c>
      <x:c r="E10" s="9" t="str">
        <x:v>Which detail describes the size of the search area?</x:v>
      </x:c>
      <x:c r="F10" s="9" t="str">
        <x:v>A. Amber lights in the trees
B. Five houses facing five more
C. Ben’s dragon tail</x:v>
      </x:c>
      <x:c r="G10" s="9" t="str">
        <x:v>Five houses facing five more</x:v>
      </x:c>
      <x:c r="H10" s="12"/>
      <x:c r="I10" s="2" t="str">
        <x:f>IF(H10="","",IF(H10=G10,1,0))</x:f>
      </x:c>
    </x:row>
    <x:row r="11" ht="63" customHeight="1">
      <x:c r="A11" s="2" t="n">
        <x:v>1</x:v>
      </x:c>
      <x:c r="B11" s="2" t="str">
        <x:v>Q2</x:v>
      </x:c>
      <x:c r="C11" s="2" t="str">
        <x:v>Multiple choice</x:v>
      </x:c>
      <x:c r="D11" s="9" t="str">
        <x:v>Inference</x:v>
      </x:c>
      <x:c r="E11" s="9" t="str">
        <x:v>Why does Noor copy the clue?</x:v>
      </x:c>
      <x:c r="F11" s="9" t="str">
        <x:v>A. To keep an exact record
B. To announce the answer
C. To describe her costume</x:v>
      </x:c>
      <x:c r="G11" s="9" t="str">
        <x:v>To keep an exact record</x:v>
      </x:c>
      <x:c r="H11" s="12"/>
      <x:c r="I11" s="2" t="str">
        <x:f>IF(H11="","",IF(H11=G11,1,0))</x:f>
      </x:c>
    </x:row>
    <x:row r="12" ht="63" customHeight="1">
      <x:c r="A12" s="2" t="n">
        <x:v>1</x:v>
      </x:c>
      <x:c r="B12" s="2" t="str">
        <x:v>M1</x:v>
      </x:c>
      <x:c r="C12" s="2" t="str">
        <x:v>Matching</x:v>
      </x:c>
      <x:c r="D12" s="9" t="str">
        <x:v>Story details</x:v>
      </x:c>
      <x:c r="E12" s="9" t="str">
        <x:v>Setting</x:v>
      </x:c>
      <x:c r="F12" s="9" t="str">
        <x:v>a book voucher
High Park neighbourhood
10 houses</x:v>
      </x:c>
      <x:c r="G12" s="9" t="str">
        <x:v>High Park neighbourhood</x:v>
      </x:c>
      <x:c r="H12" s="12"/>
      <x:c r="I12" s="2" t="str">
        <x:f>IF(H12="","",IF(H12=G12,1,0))</x:f>
      </x:c>
    </x:row>
    <x:row r="13" ht="63" customHeight="1">
      <x:c r="A13" s="2" t="n">
        <x:v>1</x:v>
      </x:c>
      <x:c r="B13" s="2" t="str">
        <x:v>M2</x:v>
      </x:c>
      <x:c r="C13" s="2" t="str">
        <x:v>Matching</x:v>
      </x:c>
      <x:c r="D13" s="9" t="str">
        <x:v>Story details</x:v>
      </x:c>
      <x:c r="E13" s="9" t="str">
        <x:v>Map</x:v>
      </x:c>
      <x:c r="F13" s="9" t="str">
        <x:v>a book voucher
High Park neighbourhood
10 houses</x:v>
      </x:c>
      <x:c r="G13" s="9" t="str">
        <x:v>10 houses</x:v>
      </x:c>
      <x:c r="H13" s="12"/>
      <x:c r="I13" s="2" t="str">
        <x:f>IF(H13="","",IF(H13=G13,1,0))</x:f>
      </x:c>
    </x:row>
    <x:row r="14" ht="63" customHeight="1">
      <x:c r="A14" s="2" t="n">
        <x:v>1</x:v>
      </x:c>
      <x:c r="B14" s="2" t="str">
        <x:v>M3</x:v>
      </x:c>
      <x:c r="C14" s="2" t="str">
        <x:v>Matching</x:v>
      </x:c>
      <x:c r="D14" s="9" t="str">
        <x:v>Story details</x:v>
      </x:c>
      <x:c r="E14" s="9" t="str">
        <x:v>Prize</x:v>
      </x:c>
      <x:c r="F14" s="9" t="str">
        <x:v>a book voucher
High Park neighbourhood
10 houses</x:v>
      </x:c>
      <x:c r="G14" s="9" t="str">
        <x:v>a book voucher</x:v>
      </x:c>
      <x:c r="H14" s="12"/>
      <x:c r="I14" s="2" t="str">
        <x:f>IF(H14="","",IF(H14=G14,1,0))</x:f>
      </x:c>
    </x:row>
    <x:row r="15" ht="63" customHeight="1">
      <x:c r="A15" s="2" t="n">
        <x:v>2</x:v>
      </x:c>
      <x:c r="B15" s="2" t="str">
        <x:v>Q1</x:v>
      </x:c>
      <x:c r="C15" s="2" t="str">
        <x:v>Multiple choice</x:v>
      </x:c>
      <x:c r="D15" s="9" t="str">
        <x:v>Read precisely</x:v>
      </x:c>
      <x:c r="E15" s="9" t="str">
        <x:v>Which action is described in the second clue?</x:v>
      </x:c>
      <x:c r="F15" s="9" t="str">
        <x:v>A. Pull a ribbon
B. Step onto a mat
C. Press a bell</x:v>
      </x:c>
      <x:c r="G15" s="9" t="str">
        <x:v>Step onto a mat</x:v>
      </x:c>
      <x:c r="H15" s="12"/>
      <x:c r="I15" s="2" t="str">
        <x:f>IF(H15="","",IF(H15=G15,1,0))</x:f>
      </x:c>
    </x:row>
    <x:row r="16" ht="63" customHeight="1">
      <x:c r="A16" s="2" t="n">
        <x:v>2</x:v>
      </x:c>
      <x:c r="B16" s="2" t="str">
        <x:v>Q2</x:v>
      </x:c>
      <x:c r="C16" s="2" t="str">
        <x:v>Multiple choice</x:v>
      </x:c>
      <x:c r="D16" s="9" t="str">
        <x:v>Find a detail</x:v>
      </x:c>
      <x:c r="E16" s="9" t="str">
        <x:v>Who recorded the clue?</x:v>
      </x:c>
      <x:c r="F16" s="9" t="str">
        <x:v>A. Theo
B. Noor
C. Ben</x:v>
      </x:c>
      <x:c r="G16" s="9" t="str">
        <x:v>Noor</x:v>
      </x:c>
      <x:c r="H16" s="12"/>
      <x:c r="I16" s="2" t="str">
        <x:f>IF(H16="","",IF(H16=G16,1,0))</x:f>
      </x:c>
    </x:row>
    <x:row r="17" ht="63" customHeight="1">
      <x:c r="A17" s="2" t="n">
        <x:v>2</x:v>
      </x:c>
      <x:c r="B17" s="2" t="str">
        <x:v>M1</x:v>
      </x:c>
      <x:c r="C17" s="2" t="str">
        <x:v>Matching</x:v>
      </x:c>
      <x:c r="D17" s="9" t="str">
        <x:v>Story details</x:v>
      </x:c>
      <x:c r="E17" s="9" t="str">
        <x:v>House number 1</x:v>
      </x:c>
      <x:c r="F17" s="9" t="str">
        <x:v>cat and purple light
ghost and blue light
spider and purple light</x:v>
      </x:c>
      <x:c r="G17" s="9" t="str">
        <x:v>ghost and blue light</x:v>
      </x:c>
      <x:c r="H17" s="12"/>
      <x:c r="I17" s="2" t="str">
        <x:f>IF(H17="","",IF(H17=G17,1,0))</x:f>
      </x:c>
    </x:row>
    <x:row r="18" ht="63" customHeight="1">
      <x:c r="A18" s="2" t="n">
        <x:v>2</x:v>
      </x:c>
      <x:c r="B18" s="2" t="str">
        <x:v>M2</x:v>
      </x:c>
      <x:c r="C18" s="2" t="str">
        <x:v>Matching</x:v>
      </x:c>
      <x:c r="D18" s="9" t="str">
        <x:v>Story details</x:v>
      </x:c>
      <x:c r="E18" s="9" t="str">
        <x:v>House number 4</x:v>
      </x:c>
      <x:c r="F18" s="9" t="str">
        <x:v>cat and purple light
ghost and blue light
spider and purple light</x:v>
      </x:c>
      <x:c r="G18" s="9" t="str">
        <x:v>spider and purple light</x:v>
      </x:c>
      <x:c r="H18" s="12"/>
      <x:c r="I18" s="2" t="str">
        <x:f>IF(H18="","",IF(H18=G18,1,0))</x:f>
      </x:c>
    </x:row>
    <x:row r="19" ht="63" customHeight="1">
      <x:c r="A19" s="2" t="n">
        <x:v>2</x:v>
      </x:c>
      <x:c r="B19" s="2" t="str">
        <x:v>M3</x:v>
      </x:c>
      <x:c r="C19" s="2" t="str">
        <x:v>Matching</x:v>
      </x:c>
      <x:c r="D19" s="9" t="str">
        <x:v>Story details</x:v>
      </x:c>
      <x:c r="E19" s="9" t="str">
        <x:v>House number 7</x:v>
      </x:c>
      <x:c r="F19" s="9" t="str">
        <x:v>cat and purple light
ghost and blue light
spider and purple light</x:v>
      </x:c>
      <x:c r="G19" s="9" t="str">
        <x:v>cat and purple light</x:v>
      </x:c>
      <x:c r="H19" s="12"/>
      <x:c r="I19" s="2" t="str">
        <x:f>IF(H19="","",IF(H19=G19,1,0))</x:f>
      </x:c>
    </x:row>
    <x:row r="20" ht="63" customHeight="1">
      <x:c r="A20" s="2" t="n">
        <x:v>3</x:v>
      </x:c>
      <x:c r="B20" s="2" t="str">
        <x:v>Q1</x:v>
      </x:c>
      <x:c r="C20" s="2" t="str">
        <x:v>Multiple choice</x:v>
      </x:c>
      <x:c r="D20" s="9" t="str">
        <x:v>Read precisely</x:v>
      </x:c>
      <x:c r="E20" s="9" t="str">
        <x:v>Which pumpkins does the third clue specify?</x:v>
      </x:c>
      <x:c r="F20" s="9" t="str">
        <x:v>A. Carved pumpkins on a low wall
B. Painted pumpkins on a porch
C. Every pumpkin on the street</x:v>
      </x:c>
      <x:c r="G20" s="9" t="str">
        <x:v>Carved pumpkins on a low wall</x:v>
      </x:c>
      <x:c r="H20" s="12"/>
      <x:c r="I20" s="2" t="str">
        <x:f>IF(H20="","",IF(H20=G20,1,0))</x:f>
      </x:c>
    </x:row>
    <x:row r="21" ht="63" customHeight="1">
      <x:c r="A21" s="2" t="n">
        <x:v>3</x:v>
      </x:c>
      <x:c r="B21" s="2" t="str">
        <x:v>Q2</x:v>
      </x:c>
      <x:c r="C21" s="2" t="str">
        <x:v>Multiple choice</x:v>
      </x:c>
      <x:c r="D21" s="9" t="str">
        <x:v>Find a detail</x:v>
      </x:c>
      <x:c r="E21" s="9" t="str">
        <x:v>What quantity is named?</x:v>
      </x:c>
      <x:c r="F21" s="9" t="str">
        <x:v>A. Two
B. Three
C. Four</x:v>
      </x:c>
      <x:c r="G21" s="9" t="str">
        <x:v>Three</x:v>
      </x:c>
      <x:c r="H21" s="12"/>
      <x:c r="I21" s="2" t="str">
        <x:f>IF(H21="","",IF(H21=G21,1,0))</x:f>
      </x:c>
    </x:row>
    <x:row r="22" ht="63" customHeight="1">
      <x:c r="A22" s="2" t="n">
        <x:v>3</x:v>
      </x:c>
      <x:c r="B22" s="2" t="str">
        <x:v>M1</x:v>
      </x:c>
      <x:c r="C22" s="2" t="str">
        <x:v>Matching</x:v>
      </x:c>
      <x:c r="D22" s="9" t="str">
        <x:v>Cause and effect</x:v>
      </x:c>
      <x:c r="E22" s="9" t="str">
        <x:v>House 2: action</x:v>
      </x:c>
      <x:c r="F22" s="9" t="str">
        <x:v>stepped onto a mat
pressed a bell
pulled a ribbon</x:v>
      </x:c>
      <x:c r="G22" s="9" t="str">
        <x:v>pressed a bell</x:v>
      </x:c>
      <x:c r="H22" s="12"/>
      <x:c r="I22" s="2" t="str">
        <x:f>IF(H22="","",IF(H22=G22,1,0))</x:f>
      </x:c>
    </x:row>
    <x:row r="23" ht="63" customHeight="1">
      <x:c r="A23" s="2" t="n">
        <x:v>3</x:v>
      </x:c>
      <x:c r="B23" s="2" t="str">
        <x:v>M2</x:v>
      </x:c>
      <x:c r="C23" s="2" t="str">
        <x:v>Matching</x:v>
      </x:c>
      <x:c r="D23" s="9" t="str">
        <x:v>Cause and effect</x:v>
      </x:c>
      <x:c r="E23" s="9" t="str">
        <x:v>House 4: action</x:v>
      </x:c>
      <x:c r="F23" s="9" t="str">
        <x:v>stepped onto a mat
pressed a bell
pulled a ribbon</x:v>
      </x:c>
      <x:c r="G23" s="9" t="str">
        <x:v>pulled a ribbon</x:v>
      </x:c>
      <x:c r="H23" s="12"/>
      <x:c r="I23" s="2" t="str">
        <x:f>IF(H23="","",IF(H23=G23,1,0))</x:f>
      </x:c>
    </x:row>
    <x:row r="24" ht="63" customHeight="1">
      <x:c r="A24" s="2" t="n">
        <x:v>3</x:v>
      </x:c>
      <x:c r="B24" s="2" t="str">
        <x:v>M3</x:v>
      </x:c>
      <x:c r="C24" s="2" t="str">
        <x:v>Matching</x:v>
      </x:c>
      <x:c r="D24" s="9" t="str">
        <x:v>Cause and effect</x:v>
      </x:c>
      <x:c r="E24" s="9" t="str">
        <x:v>House 3: action</x:v>
      </x:c>
      <x:c r="F24" s="9" t="str">
        <x:v>stepped onto a mat
pressed a bell
pulled a ribbon</x:v>
      </x:c>
      <x:c r="G24" s="9" t="str">
        <x:v>stepped onto a mat</x:v>
      </x:c>
      <x:c r="H24" s="12"/>
      <x:c r="I24" s="2" t="str">
        <x:f>IF(H24="","",IF(H24=G24,1,0))</x:f>
      </x:c>
    </x:row>
    <x:row r="25" ht="63" customHeight="1">
      <x:c r="A25" s="2" t="n">
        <x:v>4</x:v>
      </x:c>
      <x:c r="B25" s="2" t="str">
        <x:v>Q1</x:v>
      </x:c>
      <x:c r="C25" s="2" t="str">
        <x:v>Multiple choice</x:v>
      </x:c>
      <x:c r="D25" s="9" t="str">
        <x:v>Interpret figurative language</x:v>
      </x:c>
      <x:c r="E25" s="9" t="str">
        <x:v>What does “feathered watcher” refer to?</x:v>
      </x:c>
      <x:c r="F25" s="9" t="str">
        <x:v>A. A neighbour with a lantern
B. An owl decoration
C. A hidden camera</x:v>
      </x:c>
      <x:c r="G25" s="9" t="str">
        <x:v>An owl decoration</x:v>
      </x:c>
      <x:c r="H25" s="12"/>
      <x:c r="I25" s="2" t="str">
        <x:f>IF(H25="","",IF(H25=G25,1,0))</x:f>
      </x:c>
    </x:row>
    <x:row r="26" ht="63" customHeight="1">
      <x:c r="A26" s="2" t="n">
        <x:v>4</x:v>
      </x:c>
      <x:c r="B26" s="2" t="str">
        <x:v>Q2</x:v>
      </x:c>
      <x:c r="C26" s="2" t="str">
        <x:v>Multiple choice</x:v>
      </x:c>
      <x:c r="D26" s="9" t="str">
        <x:v>Find a detail</x:v>
      </x:c>
      <x:c r="E26" s="9" t="str">
        <x:v>Which sound is named in clue four?</x:v>
      </x:c>
      <x:c r="F26" s="9" t="str">
        <x:v>A. Hoo!
B. Meow!
C. Boo!</x:v>
      </x:c>
      <x:c r="G26" s="9" t="str">
        <x:v>Hoo!</x:v>
      </x:c>
      <x:c r="H26" s="12"/>
      <x:c r="I26" s="2" t="str">
        <x:f>IF(H26="","",IF(H26=G26,1,0))</x:f>
      </x:c>
    </x:row>
    <x:row r="27" ht="63" customHeight="1">
      <x:c r="A27" s="2" t="n">
        <x:v>4</x:v>
      </x:c>
      <x:c r="B27" s="2" t="str">
        <x:v>M1</x:v>
      </x:c>
      <x:c r="C27" s="2" t="str">
        <x:v>Matching</x:v>
      </x:c>
      <x:c r="D27" s="9" t="str">
        <x:v>Story details</x:v>
      </x:c>
      <x:c r="E27" s="9" t="str">
        <x:v>House 3: movement</x:v>
      </x:c>
      <x:c r="F27" s="9" t="str">
        <x:v>Hoo!
lifted its wings
two</x:v>
      </x:c>
      <x:c r="G27" s="9" t="str">
        <x:v>lifted its wings</x:v>
      </x:c>
      <x:c r="H27" s="12"/>
      <x:c r="I27" s="2" t="str">
        <x:f>IF(H27="","",IF(H27=G27,1,0))</x:f>
      </x:c>
    </x:row>
    <x:row r="28" ht="63" customHeight="1">
      <x:c r="A28" s="2" t="n">
        <x:v>4</x:v>
      </x:c>
      <x:c r="B28" s="2" t="str">
        <x:v>M2</x:v>
      </x:c>
      <x:c r="C28" s="2" t="str">
        <x:v>Matching</x:v>
      </x:c>
      <x:c r="D28" s="9" t="str">
        <x:v>Story details</x:v>
      </x:c>
      <x:c r="E28" s="9" t="str">
        <x:v>House 5: pumpkin count</x:v>
      </x:c>
      <x:c r="F28" s="9" t="str">
        <x:v>Hoo!
lifted its wings
two</x:v>
      </x:c>
      <x:c r="G28" s="9" t="str">
        <x:v>two</x:v>
      </x:c>
      <x:c r="H28" s="12"/>
      <x:c r="I28" s="2" t="str">
        <x:f>IF(H28="","",IF(H28=G28,1,0))</x:f>
      </x:c>
    </x:row>
    <x:row r="29" ht="63" customHeight="1">
      <x:c r="A29" s="2" t="n">
        <x:v>4</x:v>
      </x:c>
      <x:c r="B29" s="2" t="str">
        <x:v>M3</x:v>
      </x:c>
      <x:c r="C29" s="2" t="str">
        <x:v>Matching</x:v>
      </x:c>
      <x:c r="D29" s="9" t="str">
        <x:v>Story details</x:v>
      </x:c>
      <x:c r="E29" s="9" t="str">
        <x:v>House 6: sound</x:v>
      </x:c>
      <x:c r="F29" s="9" t="str">
        <x:v>Hoo!
lifted its wings
two</x:v>
      </x:c>
      <x:c r="G29" s="9" t="str">
        <x:v>Hoo!</x:v>
      </x:c>
      <x:c r="H29" s="12"/>
      <x:c r="I29" s="2" t="str">
        <x:f>IF(H29="","",IF(H29=G29,1,0))</x:f>
      </x:c>
    </x:row>
    <x:row r="30" ht="63" customHeight="1">
      <x:c r="A30" s="2" t="n">
        <x:v>5</x:v>
      </x:c>
      <x:c r="B30" s="2" t="str">
        <x:v>Q1</x:v>
      </x:c>
      <x:c r="C30" s="2" t="str">
        <x:v>Multiple choice</x:v>
      </x:c>
      <x:c r="D30" s="9" t="str">
        <x:v>Analyse a detail</x:v>
      </x:c>
      <x:c r="E30" s="9" t="str">
        <x:v>What information does the fifth clue provide?</x:v>
      </x:c>
      <x:c r="F30" s="9" t="str">
        <x:v>A. The container and its position
B. A costume colour
C. The number of guests</x:v>
      </x:c>
      <x:c r="G30" s="9" t="str">
        <x:v>The container and its position</x:v>
      </x:c>
      <x:c r="H30" s="12"/>
      <x:c r="I30" s="2" t="str">
        <x:f>IF(H30="","",IF(H30=G30,1,0))</x:f>
      </x:c>
    </x:row>
    <x:row r="31" ht="63" customHeight="1">
      <x:c r="A31" s="2" t="n">
        <x:v>5</x:v>
      </x:c>
      <x:c r="B31" s="2" t="str">
        <x:v>Q2</x:v>
      </x:c>
      <x:c r="C31" s="2" t="str">
        <x:v>Multiple choice</x:v>
      </x:c>
      <x:c r="D31" s="9" t="str">
        <x:v>Vocabulary</x:v>
      </x:c>
      <x:c r="E31" s="9" t="str">
        <x:v>What does “beneath” specify?</x:v>
      </x:c>
      <x:c r="F31" s="9" t="str">
        <x:v>A. Colour
B. Position
C. Quantity</x:v>
      </x:c>
      <x:c r="G31" s="9" t="str">
        <x:v>Position</x:v>
      </x:c>
      <x:c r="H31" s="12"/>
      <x:c r="I31" s="2" t="str">
        <x:f>IF(H31="","",IF(H31=G31,1,0))</x:f>
      </x:c>
    </x:row>
    <x:row r="32" ht="63" customHeight="1">
      <x:c r="A32" s="2" t="n">
        <x:v>5</x:v>
      </x:c>
      <x:c r="B32" s="2" t="str">
        <x:v>M1</x:v>
      </x:c>
      <x:c r="C32" s="2" t="str">
        <x:v>Matching</x:v>
      </x:c>
      <x:c r="D32" s="9" t="str">
        <x:v>Story details</x:v>
      </x:c>
      <x:c r="E32" s="9" t="str">
        <x:v>House 3: container material</x:v>
      </x:c>
      <x:c r="F32" s="9" t="str">
        <x:v>under
wood
metal</x:v>
      </x:c>
      <x:c r="G32" s="9" t="str">
        <x:v>wood</x:v>
      </x:c>
      <x:c r="H32" s="12"/>
      <x:c r="I32" s="2" t="str">
        <x:f>IF(H32="","",IF(H32=G32,1,0))</x:f>
      </x:c>
    </x:row>
    <x:row r="33" ht="63" customHeight="1">
      <x:c r="A33" s="2" t="n">
        <x:v>5</x:v>
      </x:c>
      <x:c r="B33" s="2" t="str">
        <x:v>M2</x:v>
      </x:c>
      <x:c r="C33" s="2" t="str">
        <x:v>Matching</x:v>
      </x:c>
      <x:c r="D33" s="9" t="str">
        <x:v>Story details</x:v>
      </x:c>
      <x:c r="E33" s="9" t="str">
        <x:v>House 6: container material</x:v>
      </x:c>
      <x:c r="F33" s="9" t="str">
        <x:v>under
wood
metal</x:v>
      </x:c>
      <x:c r="G33" s="9" t="str">
        <x:v>metal</x:v>
      </x:c>
      <x:c r="H33" s="12"/>
      <x:c r="I33" s="2" t="str">
        <x:f>IF(H33="","",IF(H33=G33,1,0))</x:f>
      </x:c>
    </x:row>
    <x:row r="34" ht="63" customHeight="1">
      <x:c r="A34" s="2" t="n">
        <x:v>5</x:v>
      </x:c>
      <x:c r="B34" s="2" t="str">
        <x:v>M3</x:v>
      </x:c>
      <x:c r="C34" s="2" t="str">
        <x:v>Matching</x:v>
      </x:c>
      <x:c r="D34" s="9" t="str">
        <x:v>Story details</x:v>
      </x:c>
      <x:c r="E34" s="9" t="str">
        <x:v>Beneath means</x:v>
      </x:c>
      <x:c r="F34" s="9" t="str">
        <x:v>under
wood
metal</x:v>
      </x:c>
      <x:c r="G34" s="9" t="str">
        <x:v>under</x:v>
      </x:c>
      <x:c r="H34" s="12"/>
      <x:c r="I34" s="2" t="str">
        <x:f>IF(H34="","",IF(H34=G34,1,0))</x:f>
      </x:c>
    </x:row>
    <x:row r="35" ht="63" customHeight="1">
      <x:c r="A35" s="2" t="n">
        <x:v>6</x:v>
      </x:c>
      <x:c r="B35" s="2" t="str">
        <x:v>Q1</x:v>
      </x:c>
      <x:c r="C35" s="2" t="str">
        <x:v>Multiple choice</x:v>
      </x:c>
      <x:c r="D35" s="9" t="str">
        <x:v>Deduction</x:v>
      </x:c>
      <x:c r="E35" s="9" t="str">
        <x:v>Which house fits the complete set of clues?</x:v>
      </x:c>
      <x:c r="F35" s="9" t="str">
        <x:v>House 1, House 2, House 3, House 4, House 5, House 6, House 7, House 8, House 9, House 10</x:v>
      </x:c>
      <x:c r="G35" s="9" t="str">
        <x:v>House 6</x:v>
      </x:c>
      <x:c r="H35" s="12"/>
      <x:c r="I35" s="2" t="str">
        <x:f>IF(H35="","",IF(H35=G35,1,0))</x:f>
      </x:c>
    </x:row>
    <x:row r="36" ht="63" customHeight="1">
      <x:c r="A36" s="2" t="n">
        <x:v>6</x:v>
      </x:c>
      <x:c r="B36" s="2" t="str">
        <x:v>Q2</x:v>
      </x:c>
      <x:c r="C36" s="2" t="str">
        <x:v>Multiple choice</x:v>
      </x:c>
      <x:c r="D36" s="9" t="str">
        <x:v>Use evidence</x:v>
      </x:c>
      <x:c r="E36" s="9" t="str">
        <x:v>Where is the keychain hidden?</x:v>
      </x:c>
      <x:c r="F36" s="9" t="str">
        <x:v>A. Inside a wooden box beneath an owl’s perch
B. Inside a carved pumpkin on the low wall
C. Inside the silver tin beneath the owl’s perch</x:v>
      </x:c>
      <x:c r="G36" s="9" t="str">
        <x:v>Inside the silver tin beneath the owl’s perch</x:v>
      </x:c>
      <x:c r="H36" s="12"/>
      <x:c r="I36" s="2" t="str">
        <x:f>IF(H36="","",IF(H36=G36,1,0))</x:f>
      </x:c>
    </x:row>
    <x:row r="37" ht="63" customHeight="1">
      <x:c r="A37" s="2" t="n">
        <x:v>6</x:v>
      </x:c>
      <x:c r="B37" s="2" t="str">
        <x:v>M1</x:v>
      </x:c>
      <x:c r="C37" s="2" t="str">
        <x:v>Matching</x:v>
      </x:c>
      <x:c r="D37" s="9" t="str">
        <x:v>Clue details</x:v>
      </x:c>
      <x:c r="E37" s="9" t="str">
        <x:v>Purple porch light</x:v>
      </x:c>
      <x:c r="F37" s="9" t="str">
        <x:v>a quantity detail
a colour detail
an action detail</x:v>
      </x:c>
      <x:c r="G37" s="9" t="str">
        <x:v>a colour detail</x:v>
      </x:c>
      <x:c r="H37" s="12"/>
      <x:c r="I37" s="2" t="str">
        <x:f>IF(H37="","",IF(H37=G37,1,0))</x:f>
      </x:c>
    </x:row>
    <x:row r="38" ht="63" customHeight="1">
      <x:c r="A38" s="2" t="n">
        <x:v>6</x:v>
      </x:c>
      <x:c r="B38" s="2" t="str">
        <x:v>M2</x:v>
      </x:c>
      <x:c r="C38" s="2" t="str">
        <x:v>Matching</x:v>
      </x:c>
      <x:c r="D38" s="9" t="str">
        <x:v>Clue details</x:v>
      </x:c>
      <x:c r="E38" s="9" t="str">
        <x:v>Walk onto the mat</x:v>
      </x:c>
      <x:c r="F38" s="9" t="str">
        <x:v>a quantity detail
a colour detail
an action detail</x:v>
      </x:c>
      <x:c r="G38" s="9" t="str">
        <x:v>an action detail</x:v>
      </x:c>
      <x:c r="H38" s="12"/>
      <x:c r="I38" s="2" t="str">
        <x:f>IF(H38="","",IF(H38=G38,1,0))</x:f>
      </x:c>
    </x:row>
    <x:row r="39" ht="63" customHeight="1">
      <x:c r="A39" s="2" t="n">
        <x:v>6</x:v>
      </x:c>
      <x:c r="B39" s="2" t="str">
        <x:v>M3</x:v>
      </x:c>
      <x:c r="C39" s="2" t="str">
        <x:v>Matching</x:v>
      </x:c>
      <x:c r="D39" s="9" t="str">
        <x:v>Clue details</x:v>
      </x:c>
      <x:c r="E39" s="9" t="str">
        <x:v>Three carved pumpkins</x:v>
      </x:c>
      <x:c r="F39" s="9" t="str">
        <x:v>a quantity detail
a colour detail
an action detail</x:v>
      </x:c>
      <x:c r="G39" s="9" t="str">
        <x:v>a quantity detail</x:v>
      </x:c>
      <x:c r="H39" s="12"/>
      <x:c r="I39" s="2" t="str">
        <x:f>IF(H39="","",IF(H39=G39,1,0))</x:f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</x:sheetData>
  <x:conditionalFormatting sqref="I10:I39">
    <x:cfRule type="expression" dxfId="2" priority="1">
      <x:formula>AND(H10&lt;&gt;"",I10=0)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E3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5" hidden="0" customWidth="1"/>
    <x:col min="15" max="15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Class record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 t="str">
        <x:v>Six section scores: Pre-A 0-2 (12 total), A 0-3 (18), AA/AAA 0-5 (30).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2" customHeight="1">
      <x:c r="A6" s="8" t="str">
        <x:v>Student ID</x:v>
      </x:c>
      <x:c r="B6" s="8" t="str">
        <x:v>Level</x:v>
      </x:c>
      <x:c r="C6" s="8" t="str">
        <x:v>Date</x:v>
      </x:c>
      <x:c r="D6" s="8" t="str">
        <x:v>Section 1</x:v>
      </x:c>
      <x:c r="E6" s="8" t="str">
        <x:v>Section 2</x:v>
      </x:c>
      <x:c r="F6" s="8" t="str">
        <x:v>Section 3</x:v>
      </x:c>
      <x:c r="G6" s="8" t="str">
        <x:v>Section 4</x:v>
      </x:c>
      <x:c r="H6" s="8" t="str">
        <x:v>Section 5</x:v>
      </x:c>
      <x:c r="I6" s="8" t="str">
        <x:v>Section 6</x:v>
      </x:c>
      <x:c r="J6" s="8" t="str">
        <x:v>Total</x:v>
      </x:c>
      <x:c r="K6" s="8" t="str">
        <x:v>Maximum</x:v>
      </x:c>
      <x:c r="L6" s="8" t="str">
        <x:v>Percent</x:v>
      </x:c>
      <x:c r="M6" s="8" t="str">
        <x:v>Complete sections</x:v>
      </x:c>
      <x:c r="N6" s="8" t="str">
        <x:v>Teacher comment</x:v>
      </x:c>
      <x:c r="O6" s="8" t="str">
        <x:v>Support / accommodation</x:v>
      </x:c>
    </x:row>
    <x:row r="7" ht="24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2" t="str">
        <x:f>IF(OR(COUNT(D7:I7)&lt;6,MAX(D7:I7)&gt;IF(B7="Pre-A",2,IF(B7="A",3,5))),"",SUM(D7:I7))</x:f>
      </x:c>
      <x:c r="K7" s="2" t="str">
        <x:f>IF(J7="","",IF(B7="Pre-A",12,IF(B7="A",18,30)))</x:f>
      </x:c>
      <x:c r="L7" s="14" t="str">
        <x:f>IF(J7="","",J7/K7)</x:f>
      </x:c>
      <x:c r="M7" s="2" t="n">
        <x:f>COUNT(D7:I7)</x:f>
        <x:v>0</x:v>
      </x:c>
      <x:c r="N7" s="11"/>
      <x:c r="O7" s="11"/>
    </x:row>
    <x:row r="8" ht="24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2" t="str">
        <x:f>IF(OR(COUNT(D8:I8)&lt;6,MAX(D8:I8)&gt;IF(B8="Pre-A",2,IF(B8="A",3,5))),"",SUM(D8:I8))</x:f>
      </x:c>
      <x:c r="K8" s="2" t="str">
        <x:f>IF(J8="","",IF(B8="Pre-A",12,IF(B8="A",18,30)))</x:f>
      </x:c>
      <x:c r="L8" s="14" t="str">
        <x:f>IF(J8="","",J8/K8)</x:f>
      </x:c>
      <x:c r="M8" s="2" t="n">
        <x:f>COUNT(D8:I8)</x:f>
        <x:v>0</x:v>
      </x:c>
      <x:c r="N8" s="11"/>
      <x:c r="O8" s="11"/>
    </x:row>
    <x:row r="9" ht="24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2" t="str">
        <x:f>IF(OR(COUNT(D9:I9)&lt;6,MAX(D9:I9)&gt;IF(B9="Pre-A",2,IF(B9="A",3,5))),"",SUM(D9:I9))</x:f>
      </x:c>
      <x:c r="K9" s="2" t="str">
        <x:f>IF(J9="","",IF(B9="Pre-A",12,IF(B9="A",18,30)))</x:f>
      </x:c>
      <x:c r="L9" s="14" t="str">
        <x:f>IF(J9="","",J9/K9)</x:f>
      </x:c>
      <x:c r="M9" s="2" t="n">
        <x:f>COUNT(D9:I9)</x:f>
        <x:v>0</x:v>
      </x:c>
      <x:c r="N9" s="11"/>
      <x:c r="O9" s="11"/>
    </x:row>
    <x:row r="10" ht="24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2" t="str">
        <x:f>IF(OR(COUNT(D10:I10)&lt;6,MAX(D10:I10)&gt;IF(B10="Pre-A",2,IF(B10="A",3,5))),"",SUM(D10:I10))</x:f>
      </x:c>
      <x:c r="K10" s="2" t="str">
        <x:f>IF(J10="","",IF(B10="Pre-A",12,IF(B10="A",18,30)))</x:f>
      </x:c>
      <x:c r="L10" s="14" t="str">
        <x:f>IF(J10="","",J10/K10)</x:f>
      </x:c>
      <x:c r="M10" s="2" t="n">
        <x:f>COUNT(D10:I10)</x:f>
        <x:v>0</x:v>
      </x:c>
      <x:c r="N10" s="11"/>
      <x:c r="O10" s="11"/>
    </x:row>
    <x:row r="11" ht="24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2" t="str">
        <x:f>IF(OR(COUNT(D11:I11)&lt;6,MAX(D11:I11)&gt;IF(B11="Pre-A",2,IF(B11="A",3,5))),"",SUM(D11:I11))</x:f>
      </x:c>
      <x:c r="K11" s="2" t="str">
        <x:f>IF(J11="","",IF(B11="Pre-A",12,IF(B11="A",18,30)))</x:f>
      </x:c>
      <x:c r="L11" s="14" t="str">
        <x:f>IF(J11="","",J11/K11)</x:f>
      </x:c>
      <x:c r="M11" s="2" t="n">
        <x:f>COUNT(D11:I11)</x:f>
        <x:v>0</x:v>
      </x:c>
      <x:c r="N11" s="11"/>
      <x:c r="O11" s="11"/>
    </x:row>
    <x:row r="12" ht="24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2" t="str">
        <x:f>IF(OR(COUNT(D12:I12)&lt;6,MAX(D12:I12)&gt;IF(B12="Pre-A",2,IF(B12="A",3,5))),"",SUM(D12:I12))</x:f>
      </x:c>
      <x:c r="K12" s="2" t="str">
        <x:f>IF(J12="","",IF(B12="Pre-A",12,IF(B12="A",18,30)))</x:f>
      </x:c>
      <x:c r="L12" s="14" t="str">
        <x:f>IF(J12="","",J12/K12)</x:f>
      </x:c>
      <x:c r="M12" s="2" t="n">
        <x:f>COUNT(D12:I12)</x:f>
        <x:v>0</x:v>
      </x:c>
      <x:c r="N12" s="11"/>
      <x:c r="O12" s="11"/>
    </x:row>
    <x:row r="13" ht="24" customHeight="1">
      <x:c r="A13" s="11"/>
      <x:c r="B13" s="11"/>
      <x:c r="C13" s="13"/>
      <x:c r="D13" s="11"/>
      <x:c r="E13" s="11"/>
      <x:c r="F13" s="11"/>
      <x:c r="G13" s="11"/>
      <x:c r="H13" s="11"/>
      <x:c r="I13" s="11"/>
      <x:c r="J13" s="2" t="str">
        <x:f>IF(OR(COUNT(D13:I13)&lt;6,MAX(D13:I13)&gt;IF(B13="Pre-A",2,IF(B13="A",3,5))),"",SUM(D13:I13))</x:f>
      </x:c>
      <x:c r="K13" s="2" t="str">
        <x:f>IF(J13="","",IF(B13="Pre-A",12,IF(B13="A",18,30)))</x:f>
      </x:c>
      <x:c r="L13" s="14" t="str">
        <x:f>IF(J13="","",J13/K13)</x:f>
      </x:c>
      <x:c r="M13" s="2" t="n">
        <x:f>COUNT(D13:I13)</x:f>
        <x:v>0</x:v>
      </x:c>
      <x:c r="N13" s="11"/>
      <x:c r="O13" s="11"/>
    </x:row>
    <x:row r="14" ht="24" customHeight="1">
      <x:c r="A14" s="11"/>
      <x:c r="B14" s="11"/>
      <x:c r="C14" s="13"/>
      <x:c r="D14" s="11"/>
      <x:c r="E14" s="11"/>
      <x:c r="F14" s="11"/>
      <x:c r="G14" s="11"/>
      <x:c r="H14" s="11"/>
      <x:c r="I14" s="11"/>
      <x:c r="J14" s="2" t="str">
        <x:f>IF(OR(COUNT(D14:I14)&lt;6,MAX(D14:I14)&gt;IF(B14="Pre-A",2,IF(B14="A",3,5))),"",SUM(D14:I14))</x:f>
      </x:c>
      <x:c r="K14" s="2" t="str">
        <x:f>IF(J14="","",IF(B14="Pre-A",12,IF(B14="A",18,30)))</x:f>
      </x:c>
      <x:c r="L14" s="14" t="str">
        <x:f>IF(J14="","",J14/K14)</x:f>
      </x:c>
      <x:c r="M14" s="2" t="n">
        <x:f>COUNT(D14:I14)</x:f>
        <x:v>0</x:v>
      </x:c>
      <x:c r="N14" s="11"/>
      <x:c r="O14" s="11"/>
    </x:row>
    <x:row r="15" ht="24" customHeight="1">
      <x:c r="A15" s="11"/>
      <x:c r="B15" s="11"/>
      <x:c r="C15" s="13"/>
      <x:c r="D15" s="11"/>
      <x:c r="E15" s="11"/>
      <x:c r="F15" s="11"/>
      <x:c r="G15" s="11"/>
      <x:c r="H15" s="11"/>
      <x:c r="I15" s="11"/>
      <x:c r="J15" s="2" t="str">
        <x:f>IF(OR(COUNT(D15:I15)&lt;6,MAX(D15:I15)&gt;IF(B15="Pre-A",2,IF(B15="A",3,5))),"",SUM(D15:I15))</x:f>
      </x:c>
      <x:c r="K15" s="2" t="str">
        <x:f>IF(J15="","",IF(B15="Pre-A",12,IF(B15="A",18,30)))</x:f>
      </x:c>
      <x:c r="L15" s="14" t="str">
        <x:f>IF(J15="","",J15/K15)</x:f>
      </x:c>
      <x:c r="M15" s="2" t="n">
        <x:f>COUNT(D15:I15)</x:f>
        <x:v>0</x:v>
      </x:c>
      <x:c r="N15" s="11"/>
      <x:c r="O15" s="11"/>
    </x:row>
    <x:row r="16" ht="24" customHeight="1">
      <x:c r="A16" s="11"/>
      <x:c r="B16" s="11"/>
      <x:c r="C16" s="13"/>
      <x:c r="D16" s="11"/>
      <x:c r="E16" s="11"/>
      <x:c r="F16" s="11"/>
      <x:c r="G16" s="11"/>
      <x:c r="H16" s="11"/>
      <x:c r="I16" s="11"/>
      <x:c r="J16" s="2" t="str">
        <x:f>IF(OR(COUNT(D16:I16)&lt;6,MAX(D16:I16)&gt;IF(B16="Pre-A",2,IF(B16="A",3,5))),"",SUM(D16:I16))</x:f>
      </x:c>
      <x:c r="K16" s="2" t="str">
        <x:f>IF(J16="","",IF(B16="Pre-A",12,IF(B16="A",18,30)))</x:f>
      </x:c>
      <x:c r="L16" s="14" t="str">
        <x:f>IF(J16="","",J16/K16)</x:f>
      </x:c>
      <x:c r="M16" s="2" t="n">
        <x:f>COUNT(D16:I16)</x:f>
        <x:v>0</x:v>
      </x:c>
      <x:c r="N16" s="11"/>
      <x:c r="O16" s="11"/>
    </x:row>
    <x:row r="17" ht="24" customHeight="1">
      <x:c r="A17" s="11"/>
      <x:c r="B17" s="11"/>
      <x:c r="C17" s="13"/>
      <x:c r="D17" s="11"/>
      <x:c r="E17" s="11"/>
      <x:c r="F17" s="11"/>
      <x:c r="G17" s="11"/>
      <x:c r="H17" s="11"/>
      <x:c r="I17" s="11"/>
      <x:c r="J17" s="2" t="str">
        <x:f>IF(OR(COUNT(D17:I17)&lt;6,MAX(D17:I17)&gt;IF(B17="Pre-A",2,IF(B17="A",3,5))),"",SUM(D17:I17))</x:f>
      </x:c>
      <x:c r="K17" s="2" t="str">
        <x:f>IF(J17="","",IF(B17="Pre-A",12,IF(B17="A",18,30)))</x:f>
      </x:c>
      <x:c r="L17" s="14" t="str">
        <x:f>IF(J17="","",J17/K17)</x:f>
      </x:c>
      <x:c r="M17" s="2" t="n">
        <x:f>COUNT(D17:I17)</x:f>
        <x:v>0</x:v>
      </x:c>
      <x:c r="N17" s="11"/>
      <x:c r="O17" s="11"/>
    </x:row>
    <x:row r="18" ht="24" customHeight="1">
      <x:c r="A18" s="11"/>
      <x:c r="B18" s="11"/>
      <x:c r="C18" s="13"/>
      <x:c r="D18" s="11"/>
      <x:c r="E18" s="11"/>
      <x:c r="F18" s="11"/>
      <x:c r="G18" s="11"/>
      <x:c r="H18" s="11"/>
      <x:c r="I18" s="11"/>
      <x:c r="J18" s="2" t="str">
        <x:f>IF(OR(COUNT(D18:I18)&lt;6,MAX(D18:I18)&gt;IF(B18="Pre-A",2,IF(B18="A",3,5))),"",SUM(D18:I18))</x:f>
      </x:c>
      <x:c r="K18" s="2" t="str">
        <x:f>IF(J18="","",IF(B18="Pre-A",12,IF(B18="A",18,30)))</x:f>
      </x:c>
      <x:c r="L18" s="14" t="str">
        <x:f>IF(J18="","",J18/K18)</x:f>
      </x:c>
      <x:c r="M18" s="2" t="n">
        <x:f>COUNT(D18:I18)</x:f>
        <x:v>0</x:v>
      </x:c>
      <x:c r="N18" s="11"/>
      <x:c r="O18" s="11"/>
    </x:row>
    <x:row r="19" ht="24" customHeight="1">
      <x:c r="A19" s="11"/>
      <x:c r="B19" s="11"/>
      <x:c r="C19" s="13"/>
      <x:c r="D19" s="11"/>
      <x:c r="E19" s="11"/>
      <x:c r="F19" s="11"/>
      <x:c r="G19" s="11"/>
      <x:c r="H19" s="11"/>
      <x:c r="I19" s="11"/>
      <x:c r="J19" s="2" t="str">
        <x:f>IF(OR(COUNT(D19:I19)&lt;6,MAX(D19:I19)&gt;IF(B19="Pre-A",2,IF(B19="A",3,5))),"",SUM(D19:I19))</x:f>
      </x:c>
      <x:c r="K19" s="2" t="str">
        <x:f>IF(J19="","",IF(B19="Pre-A",12,IF(B19="A",18,30)))</x:f>
      </x:c>
      <x:c r="L19" s="14" t="str">
        <x:f>IF(J19="","",J19/K19)</x:f>
      </x:c>
      <x:c r="M19" s="2" t="n">
        <x:f>COUNT(D19:I19)</x:f>
        <x:v>0</x:v>
      </x:c>
      <x:c r="N19" s="11"/>
      <x:c r="O19" s="11"/>
    </x:row>
    <x:row r="20" ht="24" customHeight="1">
      <x:c r="A20" s="11"/>
      <x:c r="B20" s="11"/>
      <x:c r="C20" s="13"/>
      <x:c r="D20" s="11"/>
      <x:c r="E20" s="11"/>
      <x:c r="F20" s="11"/>
      <x:c r="G20" s="11"/>
      <x:c r="H20" s="11"/>
      <x:c r="I20" s="11"/>
      <x:c r="J20" s="2" t="str">
        <x:f>IF(OR(COUNT(D20:I20)&lt;6,MAX(D20:I20)&gt;IF(B20="Pre-A",2,IF(B20="A",3,5))),"",SUM(D20:I20))</x:f>
      </x:c>
      <x:c r="K20" s="2" t="str">
        <x:f>IF(J20="","",IF(B20="Pre-A",12,IF(B20="A",18,30)))</x:f>
      </x:c>
      <x:c r="L20" s="14" t="str">
        <x:f>IF(J20="","",J20/K20)</x:f>
      </x:c>
      <x:c r="M20" s="2" t="n">
        <x:f>COUNT(D20:I20)</x:f>
        <x:v>0</x:v>
      </x:c>
      <x:c r="N20" s="11"/>
      <x:c r="O20" s="11"/>
    </x:row>
    <x:row r="21" ht="24" customHeight="1">
      <x:c r="A21" s="11"/>
      <x:c r="B21" s="11"/>
      <x:c r="C21" s="13"/>
      <x:c r="D21" s="11"/>
      <x:c r="E21" s="11"/>
      <x:c r="F21" s="11"/>
      <x:c r="G21" s="11"/>
      <x:c r="H21" s="11"/>
      <x:c r="I21" s="11"/>
      <x:c r="J21" s="2" t="str">
        <x:f>IF(OR(COUNT(D21:I21)&lt;6,MAX(D21:I21)&gt;IF(B21="Pre-A",2,IF(B21="A",3,5))),"",SUM(D21:I21))</x:f>
      </x:c>
      <x:c r="K21" s="2" t="str">
        <x:f>IF(J21="","",IF(B21="Pre-A",12,IF(B21="A",18,30)))</x:f>
      </x:c>
      <x:c r="L21" s="14" t="str">
        <x:f>IF(J21="","",J21/K21)</x:f>
      </x:c>
      <x:c r="M21" s="2" t="n">
        <x:f>COUNT(D21:I21)</x:f>
        <x:v>0</x:v>
      </x:c>
      <x:c r="N21" s="11"/>
      <x:c r="O21" s="11"/>
    </x:row>
    <x:row r="22" ht="24" customHeight="1">
      <x:c r="A22" s="11"/>
      <x:c r="B22" s="11"/>
      <x:c r="C22" s="13"/>
      <x:c r="D22" s="11"/>
      <x:c r="E22" s="11"/>
      <x:c r="F22" s="11"/>
      <x:c r="G22" s="11"/>
      <x:c r="H22" s="11"/>
      <x:c r="I22" s="11"/>
      <x:c r="J22" s="2" t="str">
        <x:f>IF(OR(COUNT(D22:I22)&lt;6,MAX(D22:I22)&gt;IF(B22="Pre-A",2,IF(B22="A",3,5))),"",SUM(D22:I22))</x:f>
      </x:c>
      <x:c r="K22" s="2" t="str">
        <x:f>IF(J22="","",IF(B22="Pre-A",12,IF(B22="A",18,30)))</x:f>
      </x:c>
      <x:c r="L22" s="14" t="str">
        <x:f>IF(J22="","",J22/K22)</x:f>
      </x:c>
      <x:c r="M22" s="2" t="n">
        <x:f>COUNT(D22:I22)</x:f>
        <x:v>0</x:v>
      </x:c>
      <x:c r="N22" s="11"/>
      <x:c r="O22" s="11"/>
    </x:row>
    <x:row r="23" ht="24" customHeight="1">
      <x:c r="A23" s="11"/>
      <x:c r="B23" s="11"/>
      <x:c r="C23" s="13"/>
      <x:c r="D23" s="11"/>
      <x:c r="E23" s="11"/>
      <x:c r="F23" s="11"/>
      <x:c r="G23" s="11"/>
      <x:c r="H23" s="11"/>
      <x:c r="I23" s="11"/>
      <x:c r="J23" s="2" t="str">
        <x:f>IF(OR(COUNT(D23:I23)&lt;6,MAX(D23:I23)&gt;IF(B23="Pre-A",2,IF(B23="A",3,5))),"",SUM(D23:I23))</x:f>
      </x:c>
      <x:c r="K23" s="2" t="str">
        <x:f>IF(J23="","",IF(B23="Pre-A",12,IF(B23="A",18,30)))</x:f>
      </x:c>
      <x:c r="L23" s="14" t="str">
        <x:f>IF(J23="","",J23/K23)</x:f>
      </x:c>
      <x:c r="M23" s="2" t="n">
        <x:f>COUNT(D23:I23)</x:f>
        <x:v>0</x:v>
      </x:c>
      <x:c r="N23" s="11"/>
      <x:c r="O23" s="11"/>
    </x:row>
    <x:row r="24" ht="24" customHeight="1">
      <x:c r="A24" s="11"/>
      <x:c r="B24" s="11"/>
      <x:c r="C24" s="13"/>
      <x:c r="D24" s="11"/>
      <x:c r="E24" s="11"/>
      <x:c r="F24" s="11"/>
      <x:c r="G24" s="11"/>
      <x:c r="H24" s="11"/>
      <x:c r="I24" s="11"/>
      <x:c r="J24" s="2" t="str">
        <x:f>IF(OR(COUNT(D24:I24)&lt;6,MAX(D24:I24)&gt;IF(B24="Pre-A",2,IF(B24="A",3,5))),"",SUM(D24:I24))</x:f>
      </x:c>
      <x:c r="K24" s="2" t="str">
        <x:f>IF(J24="","",IF(B24="Pre-A",12,IF(B24="A",18,30)))</x:f>
      </x:c>
      <x:c r="L24" s="14" t="str">
        <x:f>IF(J24="","",J24/K24)</x:f>
      </x:c>
      <x:c r="M24" s="2" t="n">
        <x:f>COUNT(D24:I24)</x:f>
        <x:v>0</x:v>
      </x:c>
      <x:c r="N24" s="11"/>
      <x:c r="O24" s="11"/>
    </x:row>
    <x:row r="25" ht="24" customHeight="1">
      <x:c r="A25" s="11"/>
      <x:c r="B25" s="11"/>
      <x:c r="C25" s="13"/>
      <x:c r="D25" s="11"/>
      <x:c r="E25" s="11"/>
      <x:c r="F25" s="11"/>
      <x:c r="G25" s="11"/>
      <x:c r="H25" s="11"/>
      <x:c r="I25" s="11"/>
      <x:c r="J25" s="2" t="str">
        <x:f>IF(OR(COUNT(D25:I25)&lt;6,MAX(D25:I25)&gt;IF(B25="Pre-A",2,IF(B25="A",3,5))),"",SUM(D25:I25))</x:f>
      </x:c>
      <x:c r="K25" s="2" t="str">
        <x:f>IF(J25="","",IF(B25="Pre-A",12,IF(B25="A",18,30)))</x:f>
      </x:c>
      <x:c r="L25" s="14" t="str">
        <x:f>IF(J25="","",J25/K25)</x:f>
      </x:c>
      <x:c r="M25" s="2" t="n">
        <x:f>COUNT(D25:I25)</x:f>
        <x:v>0</x:v>
      </x:c>
      <x:c r="N25" s="11"/>
      <x:c r="O25" s="11"/>
    </x:row>
    <x:row r="26" ht="24" customHeight="1">
      <x:c r="A26" s="11"/>
      <x:c r="B26" s="11"/>
      <x:c r="C26" s="13"/>
      <x:c r="D26" s="11"/>
      <x:c r="E26" s="11"/>
      <x:c r="F26" s="11"/>
      <x:c r="G26" s="11"/>
      <x:c r="H26" s="11"/>
      <x:c r="I26" s="11"/>
      <x:c r="J26" s="2" t="str">
        <x:f>IF(OR(COUNT(D26:I26)&lt;6,MAX(D26:I26)&gt;IF(B26="Pre-A",2,IF(B26="A",3,5))),"",SUM(D26:I26))</x:f>
      </x:c>
      <x:c r="K26" s="2" t="str">
        <x:f>IF(J26="","",IF(B26="Pre-A",12,IF(B26="A",18,30)))</x:f>
      </x:c>
      <x:c r="L26" s="14" t="str">
        <x:f>IF(J26="","",J26/K26)</x:f>
      </x:c>
      <x:c r="M26" s="2" t="n">
        <x:f>COUNT(D26:I26)</x:f>
        <x:v>0</x:v>
      </x:c>
      <x:c r="N26" s="11"/>
      <x:c r="O26" s="11"/>
    </x:row>
    <x:row r="27" ht="24" customHeight="1">
      <x:c r="A27" s="11"/>
      <x:c r="B27" s="11"/>
      <x:c r="C27" s="13"/>
      <x:c r="D27" s="11"/>
      <x:c r="E27" s="11"/>
      <x:c r="F27" s="11"/>
      <x:c r="G27" s="11"/>
      <x:c r="H27" s="11"/>
      <x:c r="I27" s="11"/>
      <x:c r="J27" s="2" t="str">
        <x:f>IF(OR(COUNT(D27:I27)&lt;6,MAX(D27:I27)&gt;IF(B27="Pre-A",2,IF(B27="A",3,5))),"",SUM(D27:I27))</x:f>
      </x:c>
      <x:c r="K27" s="2" t="str">
        <x:f>IF(J27="","",IF(B27="Pre-A",12,IF(B27="A",18,30)))</x:f>
      </x:c>
      <x:c r="L27" s="14" t="str">
        <x:f>IF(J27="","",J27/K27)</x:f>
      </x:c>
      <x:c r="M27" s="2" t="n">
        <x:f>COUNT(D27:I27)</x:f>
        <x:v>0</x:v>
      </x:c>
      <x:c r="N27" s="11"/>
      <x:c r="O27" s="11"/>
    </x:row>
    <x:row r="28" ht="24" customHeight="1">
      <x:c r="A28" s="11"/>
      <x:c r="B28" s="11"/>
      <x:c r="C28" s="13"/>
      <x:c r="D28" s="11"/>
      <x:c r="E28" s="11"/>
      <x:c r="F28" s="11"/>
      <x:c r="G28" s="11"/>
      <x:c r="H28" s="11"/>
      <x:c r="I28" s="11"/>
      <x:c r="J28" s="2" t="str">
        <x:f>IF(OR(COUNT(D28:I28)&lt;6,MAX(D28:I28)&gt;IF(B28="Pre-A",2,IF(B28="A",3,5))),"",SUM(D28:I28))</x:f>
      </x:c>
      <x:c r="K28" s="2" t="str">
        <x:f>IF(J28="","",IF(B28="Pre-A",12,IF(B28="A",18,30)))</x:f>
      </x:c>
      <x:c r="L28" s="14" t="str">
        <x:f>IF(J28="","",J28/K28)</x:f>
      </x:c>
      <x:c r="M28" s="2" t="n">
        <x:f>COUNT(D28:I28)</x:f>
        <x:v>0</x:v>
      </x:c>
      <x:c r="N28" s="11"/>
      <x:c r="O28" s="11"/>
    </x:row>
    <x:row r="29" ht="24" customHeight="1">
      <x:c r="A29" s="11"/>
      <x:c r="B29" s="11"/>
      <x:c r="C29" s="13"/>
      <x:c r="D29" s="11"/>
      <x:c r="E29" s="11"/>
      <x:c r="F29" s="11"/>
      <x:c r="G29" s="11"/>
      <x:c r="H29" s="11"/>
      <x:c r="I29" s="11"/>
      <x:c r="J29" s="2" t="str">
        <x:f>IF(OR(COUNT(D29:I29)&lt;6,MAX(D29:I29)&gt;IF(B29="Pre-A",2,IF(B29="A",3,5))),"",SUM(D29:I29))</x:f>
      </x:c>
      <x:c r="K29" s="2" t="str">
        <x:f>IF(J29="","",IF(B29="Pre-A",12,IF(B29="A",18,30)))</x:f>
      </x:c>
      <x:c r="L29" s="14" t="str">
        <x:f>IF(J29="","",J29/K29)</x:f>
      </x:c>
      <x:c r="M29" s="2" t="n">
        <x:f>COUNT(D29:I29)</x:f>
        <x:v>0</x:v>
      </x:c>
      <x:c r="N29" s="11"/>
      <x:c r="O29" s="11"/>
    </x:row>
    <x:row r="30" ht="24" customHeight="1">
      <x:c r="A30" s="11"/>
      <x:c r="B30" s="11"/>
      <x:c r="C30" s="13"/>
      <x:c r="D30" s="11"/>
      <x:c r="E30" s="11"/>
      <x:c r="F30" s="11"/>
      <x:c r="G30" s="11"/>
      <x:c r="H30" s="11"/>
      <x:c r="I30" s="11"/>
      <x:c r="J30" s="2" t="str">
        <x:f>IF(OR(COUNT(D30:I30)&lt;6,MAX(D30:I30)&gt;IF(B30="Pre-A",2,IF(B30="A",3,5))),"",SUM(D30:I30))</x:f>
      </x:c>
      <x:c r="K30" s="2" t="str">
        <x:f>IF(J30="","",IF(B30="Pre-A",12,IF(B30="A",18,30)))</x:f>
      </x:c>
      <x:c r="L30" s="14" t="str">
        <x:f>IF(J30="","",J30/K30)</x:f>
      </x:c>
      <x:c r="M30" s="2" t="n">
        <x:f>COUNT(D30:I30)</x:f>
        <x:v>0</x:v>
      </x:c>
      <x:c r="N30" s="11"/>
      <x:c r="O30" s="11"/>
    </x:row>
    <x:row r="31" ht="24" customHeight="1">
      <x:c r="A31" s="11"/>
      <x:c r="B31" s="11"/>
      <x:c r="C31" s="13"/>
      <x:c r="D31" s="11"/>
      <x:c r="E31" s="11"/>
      <x:c r="F31" s="11"/>
      <x:c r="G31" s="11"/>
      <x:c r="H31" s="11"/>
      <x:c r="I31" s="11"/>
      <x:c r="J31" s="2" t="str">
        <x:f>IF(OR(COUNT(D31:I31)&lt;6,MAX(D31:I31)&gt;IF(B31="Pre-A",2,IF(B31="A",3,5))),"",SUM(D31:I31))</x:f>
      </x:c>
      <x:c r="K31" s="2" t="str">
        <x:f>IF(J31="","",IF(B31="Pre-A",12,IF(B31="A",18,30)))</x:f>
      </x:c>
      <x:c r="L31" s="14" t="str">
        <x:f>IF(J31="","",J31/K31)</x:f>
      </x:c>
      <x:c r="M31" s="2" t="n">
        <x:f>COUNT(D31:I31)</x:f>
        <x:v>0</x:v>
      </x:c>
      <x:c r="N31" s="11"/>
      <x:c r="O31" s="11"/>
    </x:row>
    <x:row r="32" ht="24" customHeight="1">
      <x:c r="A32" s="11"/>
      <x:c r="B32" s="11"/>
      <x:c r="C32" s="13"/>
      <x:c r="D32" s="11"/>
      <x:c r="E32" s="11"/>
      <x:c r="F32" s="11"/>
      <x:c r="G32" s="11"/>
      <x:c r="H32" s="11"/>
      <x:c r="I32" s="11"/>
      <x:c r="J32" s="2" t="str">
        <x:f>IF(OR(COUNT(D32:I32)&lt;6,MAX(D32:I32)&gt;IF(B32="Pre-A",2,IF(B32="A",3,5))),"",SUM(D32:I32))</x:f>
      </x:c>
      <x:c r="K32" s="2" t="str">
        <x:f>IF(J32="","",IF(B32="Pre-A",12,IF(B32="A",18,30)))</x:f>
      </x:c>
      <x:c r="L32" s="14" t="str">
        <x:f>IF(J32="","",J32/K32)</x:f>
      </x:c>
      <x:c r="M32" s="2" t="n">
        <x:f>COUNT(D32:I32)</x:f>
        <x:v>0</x:v>
      </x:c>
      <x:c r="N32" s="11"/>
      <x:c r="O32" s="11"/>
    </x:row>
    <x:row r="33" ht="24" customHeight="1">
      <x:c r="A33" s="11"/>
      <x:c r="B33" s="11"/>
      <x:c r="C33" s="13"/>
      <x:c r="D33" s="11"/>
      <x:c r="E33" s="11"/>
      <x:c r="F33" s="11"/>
      <x:c r="G33" s="11"/>
      <x:c r="H33" s="11"/>
      <x:c r="I33" s="11"/>
      <x:c r="J33" s="2" t="str">
        <x:f>IF(OR(COUNT(D33:I33)&lt;6,MAX(D33:I33)&gt;IF(B33="Pre-A",2,IF(B33="A",3,5))),"",SUM(D33:I33))</x:f>
      </x:c>
      <x:c r="K33" s="2" t="str">
        <x:f>IF(J33="","",IF(B33="Pre-A",12,IF(B33="A",18,30)))</x:f>
      </x:c>
      <x:c r="L33" s="14" t="str">
        <x:f>IF(J33="","",J33/K33)</x:f>
      </x:c>
      <x:c r="M33" s="2" t="n">
        <x:f>COUNT(D33:I33)</x:f>
        <x:v>0</x:v>
      </x:c>
      <x:c r="N33" s="11"/>
      <x:c r="O33" s="11"/>
    </x:row>
    <x:row r="34" ht="24" customHeight="1">
      <x:c r="A34" s="11"/>
      <x:c r="B34" s="11"/>
      <x:c r="C34" s="13"/>
      <x:c r="D34" s="11"/>
      <x:c r="E34" s="11"/>
      <x:c r="F34" s="11"/>
      <x:c r="G34" s="11"/>
      <x:c r="H34" s="11"/>
      <x:c r="I34" s="11"/>
      <x:c r="J34" s="2" t="str">
        <x:f>IF(OR(COUNT(D34:I34)&lt;6,MAX(D34:I34)&gt;IF(B34="Pre-A",2,IF(B34="A",3,5))),"",SUM(D34:I34))</x:f>
      </x:c>
      <x:c r="K34" s="2" t="str">
        <x:f>IF(J34="","",IF(B34="Pre-A",12,IF(B34="A",18,30)))</x:f>
      </x:c>
      <x:c r="L34" s="14" t="str">
        <x:f>IF(J34="","",J34/K34)</x:f>
      </x:c>
      <x:c r="M34" s="2" t="n">
        <x:f>COUNT(D34:I34)</x:f>
        <x:v>0</x:v>
      </x:c>
      <x:c r="N34" s="11"/>
      <x:c r="O34" s="11"/>
    </x:row>
    <x:row r="35" ht="24" customHeight="1">
      <x:c r="A35" s="11"/>
      <x:c r="B35" s="11"/>
      <x:c r="C35" s="13"/>
      <x:c r="D35" s="11"/>
      <x:c r="E35" s="11"/>
      <x:c r="F35" s="11"/>
      <x:c r="G35" s="11"/>
      <x:c r="H35" s="11"/>
      <x:c r="I35" s="11"/>
      <x:c r="J35" s="2" t="str">
        <x:f>IF(OR(COUNT(D35:I35)&lt;6,MAX(D35:I35)&gt;IF(B35="Pre-A",2,IF(B35="A",3,5))),"",SUM(D35:I35))</x:f>
      </x:c>
      <x:c r="K35" s="2" t="str">
        <x:f>IF(J35="","",IF(B35="Pre-A",12,IF(B35="A",18,30)))</x:f>
      </x:c>
      <x:c r="L35" s="14" t="str">
        <x:f>IF(J35="","",J35/K35)</x:f>
      </x:c>
      <x:c r="M35" s="2" t="n">
        <x:f>COUNT(D35:I35)</x:f>
        <x:v>0</x:v>
      </x:c>
      <x:c r="N35" s="11"/>
      <x:c r="O35" s="11"/>
    </x:row>
    <x:row r="36" ht="24" customHeight="1">
      <x:c r="A36" s="11"/>
      <x:c r="B36" s="11"/>
      <x:c r="C36" s="13"/>
      <x:c r="D36" s="11"/>
      <x:c r="E36" s="11"/>
      <x:c r="F36" s="11"/>
      <x:c r="G36" s="11"/>
      <x:c r="H36" s="11"/>
      <x:c r="I36" s="11"/>
      <x:c r="J36" s="2" t="str">
        <x:f>IF(OR(COUNT(D36:I36)&lt;6,MAX(D36:I36)&gt;IF(B36="Pre-A",2,IF(B36="A",3,5))),"",SUM(D36:I36))</x:f>
      </x:c>
      <x:c r="K36" s="2" t="str">
        <x:f>IF(J36="","",IF(B36="Pre-A",12,IF(B36="A",18,30)))</x:f>
      </x:c>
      <x:c r="L36" s="14" t="str">
        <x:f>IF(J36="","",J36/K36)</x:f>
      </x:c>
      <x:c r="M36" s="2" t="n">
        <x:f>COUNT(D36:I36)</x:f>
        <x:v>0</x:v>
      </x:c>
      <x:c r="N36" s="11"/>
      <x:c r="O36" s="11"/>
    </x:row>
    <x:row r="37" ht="24" customHeight="1">
      <x:c r="A37" s="11"/>
      <x:c r="B37" s="11"/>
      <x:c r="C37" s="13"/>
      <x:c r="D37" s="11"/>
      <x:c r="E37" s="11"/>
      <x:c r="F37" s="11"/>
      <x:c r="G37" s="11"/>
      <x:c r="H37" s="11"/>
      <x:c r="I37" s="11"/>
      <x:c r="J37" s="2" t="str">
        <x:f>IF(OR(COUNT(D37:I37)&lt;6,MAX(D37:I37)&gt;IF(B37="Pre-A",2,IF(B37="A",3,5))),"",SUM(D37:I37))</x:f>
      </x:c>
      <x:c r="K37" s="2" t="str">
        <x:f>IF(J37="","",IF(B37="Pre-A",12,IF(B37="A",18,30)))</x:f>
      </x:c>
      <x:c r="L37" s="14" t="str">
        <x:f>IF(J37="","",J37/K37)</x:f>
      </x:c>
      <x:c r="M37" s="2" t="n">
        <x:f>COUNT(D37:I37)</x:f>
        <x:v>0</x:v>
      </x:c>
      <x:c r="N37" s="11"/>
      <x:c r="O37" s="11"/>
    </x:row>
    <x:row r="38" ht="24" customHeight="1">
      <x:c r="A38" s="11"/>
      <x:c r="B38" s="11"/>
      <x:c r="C38" s="13"/>
      <x:c r="D38" s="11"/>
      <x:c r="E38" s="11"/>
      <x:c r="F38" s="11"/>
      <x:c r="G38" s="11"/>
      <x:c r="H38" s="11"/>
      <x:c r="I38" s="11"/>
      <x:c r="J38" s="2" t="str">
        <x:f>IF(OR(COUNT(D38:I38)&lt;6,MAX(D38:I38)&gt;IF(B38="Pre-A",2,IF(B38="A",3,5))),"",SUM(D38:I38))</x:f>
      </x:c>
      <x:c r="K38" s="2" t="str">
        <x:f>IF(J38="","",IF(B38="Pre-A",12,IF(B38="A",18,30)))</x:f>
      </x:c>
      <x:c r="L38" s="14" t="str">
        <x:f>IF(J38="","",J38/K38)</x:f>
      </x:c>
      <x:c r="M38" s="2" t="n">
        <x:f>COUNT(D38:I38)</x:f>
        <x:v>0</x:v>
      </x:c>
      <x:c r="N38" s="11"/>
      <x:c r="O38" s="11"/>
    </x:row>
    <x:row r="39" ht="24" customHeight="1">
      <x:c r="A39" s="11"/>
      <x:c r="B39" s="11"/>
      <x:c r="C39" s="13"/>
      <x:c r="D39" s="11"/>
      <x:c r="E39" s="11"/>
      <x:c r="F39" s="11"/>
      <x:c r="G39" s="11"/>
      <x:c r="H39" s="11"/>
      <x:c r="I39" s="11"/>
      <x:c r="J39" s="2" t="str">
        <x:f>IF(OR(COUNT(D39:I39)&lt;6,MAX(D39:I39)&gt;IF(B39="Pre-A",2,IF(B39="A",3,5))),"",SUM(D39:I39))</x:f>
      </x:c>
      <x:c r="K39" s="2" t="str">
        <x:f>IF(J39="","",IF(B39="Pre-A",12,IF(B39="A",18,30)))</x:f>
      </x:c>
      <x:c r="L39" s="14" t="str">
        <x:f>IF(J39="","",J39/K39)</x:f>
      </x:c>
      <x:c r="M39" s="2" t="n">
        <x:f>COUNT(D39:I39)</x:f>
        <x:v>0</x:v>
      </x:c>
      <x:c r="N39" s="11"/>
      <x:c r="O39" s="11"/>
    </x:row>
    <x:row r="40" ht="24" customHeight="1">
      <x:c r="A40" s="11"/>
      <x:c r="B40" s="11"/>
      <x:c r="C40" s="13"/>
      <x:c r="D40" s="11"/>
      <x:c r="E40" s="11"/>
      <x:c r="F40" s="11"/>
      <x:c r="G40" s="11"/>
      <x:c r="H40" s="11"/>
      <x:c r="I40" s="11"/>
      <x:c r="J40" s="2" t="str">
        <x:f>IF(OR(COUNT(D40:I40)&lt;6,MAX(D40:I40)&gt;IF(B40="Pre-A",2,IF(B40="A",3,5))),"",SUM(D40:I40))</x:f>
      </x:c>
      <x:c r="K40" s="2" t="str">
        <x:f>IF(J40="","",IF(B40="Pre-A",12,IF(B40="A",18,30)))</x:f>
      </x:c>
      <x:c r="L40" s="14" t="str">
        <x:f>IF(J40="","",J40/K40)</x:f>
      </x:c>
      <x:c r="M40" s="2" t="n">
        <x:f>COUNT(D40:I40)</x:f>
        <x:v>0</x:v>
      </x:c>
      <x:c r="N40" s="11"/>
      <x:c r="O40" s="11"/>
    </x:row>
    <x:row r="41" ht="24" customHeight="1">
      <x:c r="A41" s="11"/>
      <x:c r="B41" s="11"/>
      <x:c r="C41" s="13"/>
      <x:c r="D41" s="11"/>
      <x:c r="E41" s="11"/>
      <x:c r="F41" s="11"/>
      <x:c r="G41" s="11"/>
      <x:c r="H41" s="11"/>
      <x:c r="I41" s="11"/>
      <x:c r="J41" s="2" t="str">
        <x:f>IF(OR(COUNT(D41:I41)&lt;6,MAX(D41:I41)&gt;IF(B41="Pre-A",2,IF(B41="A",3,5))),"",SUM(D41:I41))</x:f>
      </x:c>
      <x:c r="K41" s="2" t="str">
        <x:f>IF(J41="","",IF(B41="Pre-A",12,IF(B41="A",18,30)))</x:f>
      </x:c>
      <x:c r="L41" s="14" t="str">
        <x:f>IF(J41="","",J41/K41)</x:f>
      </x:c>
      <x:c r="M41" s="2" t="n">
        <x:f>COUNT(D41:I41)</x:f>
        <x:v>0</x:v>
      </x:c>
      <x:c r="N41" s="11"/>
      <x:c r="O41" s="11"/>
    </x:row>
    <x:row r="42" ht="24" customHeight="1">
      <x:c r="A42" s="11"/>
      <x:c r="B42" s="11"/>
      <x:c r="C42" s="13"/>
      <x:c r="D42" s="11"/>
      <x:c r="E42" s="11"/>
      <x:c r="F42" s="11"/>
      <x:c r="G42" s="11"/>
      <x:c r="H42" s="11"/>
      <x:c r="I42" s="11"/>
      <x:c r="J42" s="2" t="str">
        <x:f>IF(OR(COUNT(D42:I42)&lt;6,MAX(D42:I42)&gt;IF(B42="Pre-A",2,IF(B42="A",3,5))),"",SUM(D42:I42))</x:f>
      </x:c>
      <x:c r="K42" s="2" t="str">
        <x:f>IF(J42="","",IF(B42="Pre-A",12,IF(B42="A",18,30)))</x:f>
      </x:c>
      <x:c r="L42" s="14" t="str">
        <x:f>IF(J42="","",J42/K42)</x:f>
      </x:c>
      <x:c r="M42" s="2" t="n">
        <x:f>COUNT(D42:I42)</x:f>
        <x:v>0</x:v>
      </x:c>
      <x:c r="N42" s="11"/>
      <x:c r="O42" s="11"/>
    </x:row>
    <x:row r="43" ht="24" customHeight="1">
      <x:c r="A43" s="11"/>
      <x:c r="B43" s="11"/>
      <x:c r="C43" s="13"/>
      <x:c r="D43" s="11"/>
      <x:c r="E43" s="11"/>
      <x:c r="F43" s="11"/>
      <x:c r="G43" s="11"/>
      <x:c r="H43" s="11"/>
      <x:c r="I43" s="11"/>
      <x:c r="J43" s="2" t="str">
        <x:f>IF(OR(COUNT(D43:I43)&lt;6,MAX(D43:I43)&gt;IF(B43="Pre-A",2,IF(B43="A",3,5))),"",SUM(D43:I43))</x:f>
      </x:c>
      <x:c r="K43" s="2" t="str">
        <x:f>IF(J43="","",IF(B43="Pre-A",12,IF(B43="A",18,30)))</x:f>
      </x:c>
      <x:c r="L43" s="14" t="str">
        <x:f>IF(J43="","",J43/K43)</x:f>
      </x:c>
      <x:c r="M43" s="2" t="n">
        <x:f>COUNT(D43:I43)</x:f>
        <x:v>0</x:v>
      </x:c>
      <x:c r="N43" s="11"/>
      <x:c r="O43" s="11"/>
    </x:row>
    <x:row r="44" ht="24" customHeight="1">
      <x:c r="A44" s="11"/>
      <x:c r="B44" s="11"/>
      <x:c r="C44" s="13"/>
      <x:c r="D44" s="11"/>
      <x:c r="E44" s="11"/>
      <x:c r="F44" s="11"/>
      <x:c r="G44" s="11"/>
      <x:c r="H44" s="11"/>
      <x:c r="I44" s="11"/>
      <x:c r="J44" s="2" t="str">
        <x:f>IF(OR(COUNT(D44:I44)&lt;6,MAX(D44:I44)&gt;IF(B44="Pre-A",2,IF(B44="A",3,5))),"",SUM(D44:I44))</x:f>
      </x:c>
      <x:c r="K44" s="2" t="str">
        <x:f>IF(J44="","",IF(B44="Pre-A",12,IF(B44="A",18,30)))</x:f>
      </x:c>
      <x:c r="L44" s="14" t="str">
        <x:f>IF(J44="","",J44/K44)</x:f>
      </x:c>
      <x:c r="M44" s="2" t="n">
        <x:f>COUNT(D44:I44)</x:f>
        <x:v>0</x:v>
      </x:c>
      <x:c r="N44" s="11"/>
      <x:c r="O44" s="11"/>
    </x:row>
    <x:row r="45" ht="24" customHeight="1">
      <x:c r="A45" s="11"/>
      <x:c r="B45" s="11"/>
      <x:c r="C45" s="13"/>
      <x:c r="D45" s="11"/>
      <x:c r="E45" s="11"/>
      <x:c r="F45" s="11"/>
      <x:c r="G45" s="11"/>
      <x:c r="H45" s="11"/>
      <x:c r="I45" s="11"/>
      <x:c r="J45" s="2" t="str">
        <x:f>IF(OR(COUNT(D45:I45)&lt;6,MAX(D45:I45)&gt;IF(B45="Pre-A",2,IF(B45="A",3,5))),"",SUM(D45:I45))</x:f>
      </x:c>
      <x:c r="K45" s="2" t="str">
        <x:f>IF(J45="","",IF(B45="Pre-A",12,IF(B45="A",18,30)))</x:f>
      </x:c>
      <x:c r="L45" s="14" t="str">
        <x:f>IF(J45="","",J45/K45)</x:f>
      </x:c>
      <x:c r="M45" s="2" t="n">
        <x:f>COUNT(D45:I45)</x:f>
        <x:v>0</x:v>
      </x:c>
      <x:c r="N45" s="11"/>
      <x:c r="O45" s="11"/>
    </x:row>
    <x:row r="46" ht="24" customHeight="1">
      <x:c r="A46" s="11"/>
      <x:c r="B46" s="11"/>
      <x:c r="C46" s="13"/>
      <x:c r="D46" s="11"/>
      <x:c r="E46" s="11"/>
      <x:c r="F46" s="11"/>
      <x:c r="G46" s="11"/>
      <x:c r="H46" s="11"/>
      <x:c r="I46" s="11"/>
      <x:c r="J46" s="2" t="str">
        <x:f>IF(OR(COUNT(D46:I46)&lt;6,MAX(D46:I46)&gt;IF(B46="Pre-A",2,IF(B46="A",3,5))),"",SUM(D46:I46))</x:f>
      </x:c>
      <x:c r="K46" s="2" t="str">
        <x:f>IF(J46="","",IF(B46="Pre-A",12,IF(B46="A",18,30)))</x:f>
      </x:c>
      <x:c r="L46" s="14" t="str">
        <x:f>IF(J46="","",J46/K46)</x:f>
      </x:c>
      <x:c r="M46" s="2" t="n">
        <x:f>COUNT(D46:I46)</x:f>
        <x:v>0</x:v>
      </x:c>
      <x:c r="N46" s="11"/>
      <x:c r="O46" s="11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</x:sheetData>
  <x:dataValidations count="2">
    <x:dataValidation type="list" sqref="B7:B46">
      <x:formula1>"Pre-A,A,AA,AAA"</x:formula1>
    </x:dataValidation>
    <x:dataValidation type="whole" operator="between" sqref="D7:I46">
      <x:formula1>0</x:formula1>
      <x:formula2>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E356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25" hidden="0" customWidth="1"/>
    <x:col min="5" max="5" width="54" hidden="0" customWidth="1"/>
    <x:col min="6" max="6" width="54" hidden="0" customWidth="1"/>
    <x:col min="7" max="7" width="41" hidden="0" customWidth="1"/>
    <x:col min="8" max="8" width="41" hidden="0" customWidth="1"/>
    <x:col min="9" max="9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Level Pre-A - Early readers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Student ID</x:v>
      </x:c>
      <x:c r="B4" s="17"/>
      <x:c r="C4" s="2" t="str">
        <x:v>Date</x:v>
      </x:c>
      <x:c r="D4" s="17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 t="str">
        <x:v>Marks</x:v>
      </x:c>
      <x:c r="B6" s="2" t="str">
        <x:f>IF(COUNTA(H10:H21)=0,"",SUM(I10:I21))</x:f>
      </x:c>
      <x:c r="C6" s="2" t="str">
        <x:v>out of 12</x:v>
      </x:c>
      <x:c r="D6" s="2" t="str">
        <x:v>Answered</x:v>
      </x:c>
      <x:c r="E6" s="2" t="n">
        <x:f>COUNTA(H10:H21)</x:f>
        <x:v>0</x:v>
      </x:c>
      <x:c r="F6" s="2" t="str">
        <x:v>Paste student responses into yellow cells.</x:v>
      </x:c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 t="str">
        <x:v>One mark per item. Blank responses remain unmarked.</x:v>
      </x:c>
      <x:c r="B8" s="2"/>
      <x:c r="C8" s="2"/>
      <x:c r="D8" s="2"/>
      <x:c r="E8" s="2"/>
      <x:c r="F8" s="2"/>
      <x:c r="G8" s="2"/>
      <x:c r="H8" s="2"/>
      <x:c r="I8" s="2"/>
    </x:row>
    <x:row r="9" ht="32" customHeight="1">
      <x:c r="A9" s="20" t="str">
        <x:v>Section</x:v>
      </x:c>
      <x:c r="B9" s="20" t="str">
        <x:v>Item</x:v>
      </x:c>
      <x:c r="C9" s="20" t="str">
        <x:v>Type</x:v>
      </x:c>
      <x:c r="D9" s="20" t="str">
        <x:v>Skill</x:v>
      </x:c>
      <x:c r="E9" s="20" t="str">
        <x:v>Question / prompt</x:v>
      </x:c>
      <x:c r="F9" s="20" t="str">
        <x:v>Choices / matching bank</x:v>
      </x:c>
      <x:c r="G9" s="20" t="str">
        <x:v>Correct response</x:v>
      </x:c>
      <x:c r="H9" s="20" t="str">
        <x:v>Student response</x:v>
      </x:c>
      <x:c r="I9" s="20" t="str">
        <x:v>Mark</x:v>
      </x:c>
    </x:row>
    <x:row r="10" ht="63" customHeight="1">
      <x:c r="A10" s="2" t="n">
        <x:v>1</x:v>
      </x:c>
      <x:c r="B10" s="2" t="str">
        <x:v>Q1</x:v>
      </x:c>
      <x:c r="C10" s="2" t="str">
        <x:v>Multiple choice</x:v>
      </x:c>
      <x:c r="D10" s="9" t="str">
        <x:v>Find a detail</x:v>
      </x:c>
      <x:c r="E10" s="9" t="str">
        <x:v>What can they win?</x:v>
      </x:c>
      <x:c r="F10" s="9" t="str">
        <x:v>A. a book
B. a hat</x:v>
      </x:c>
      <x:c r="G10" s="9" t="str">
        <x:v>a book</x:v>
      </x:c>
      <x:c r="H10" s="21"/>
      <x:c r="I10" s="2" t="str">
        <x:f>IF(H10="","",IF(H10=G10,1,0))</x:f>
      </x:c>
    </x:row>
    <x:row r="11" ht="63" customHeight="1">
      <x:c r="A11" s="2" t="n">
        <x:v>1</x:v>
      </x:c>
      <x:c r="B11" s="2" t="str">
        <x:v>M1</x:v>
      </x:c>
      <x:c r="C11" s="2" t="str">
        <x:v>Matching</x:v>
      </x:c>
      <x:c r="D11" s="9" t="str">
        <x:v>Story details</x:v>
      </x:c>
      <x:c r="E11" s="9" t="str">
        <x:v>Find</x:v>
      </x:c>
      <x:c r="F11" s="9" t="str">
        <x:v>a pumpkin keychain
a ball</x:v>
      </x:c>
      <x:c r="G11" s="9" t="str">
        <x:v>a pumpkin keychain</x:v>
      </x:c>
      <x:c r="H11" s="21"/>
      <x:c r="I11" s="2" t="str">
        <x:f>IF(H11="","",IF(H11=G11,1,0))</x:f>
      </x:c>
    </x:row>
    <x:row r="12" ht="63" customHeight="1">
      <x:c r="A12" s="2" t="n">
        <x:v>2</x:v>
      </x:c>
      <x:c r="B12" s="2" t="str">
        <x:v>Q1</x:v>
      </x:c>
      <x:c r="C12" s="2" t="str">
        <x:v>Multiple choice</x:v>
      </x:c>
      <x:c r="D12" s="9" t="str">
        <x:v>Find a detail</x:v>
      </x:c>
      <x:c r="E12" s="9" t="str">
        <x:v>What is at house 1?</x:v>
      </x:c>
      <x:c r="F12" s="9" t="str">
        <x:v>A. a cat
B. a ghost</x:v>
      </x:c>
      <x:c r="G12" s="9" t="str">
        <x:v>a ghost</x:v>
      </x:c>
      <x:c r="H12" s="21"/>
      <x:c r="I12" s="2" t="str">
        <x:f>IF(H12="","",IF(H12=G12,1,0))</x:f>
      </x:c>
    </x:row>
    <x:row r="13" ht="63" customHeight="1">
      <x:c r="A13" s="2" t="n">
        <x:v>2</x:v>
      </x:c>
      <x:c r="B13" s="2" t="str">
        <x:v>M1</x:v>
      </x:c>
      <x:c r="C13" s="2" t="str">
        <x:v>Matching</x:v>
      </x:c>
      <x:c r="D13" s="9" t="str">
        <x:v>Story details</x:v>
      </x:c>
      <x:c r="E13" s="9" t="str">
        <x:v>House number 2</x:v>
      </x:c>
      <x:c r="F13" s="9" t="str">
        <x:v>a dog
an owl</x:v>
      </x:c>
      <x:c r="G13" s="9" t="str">
        <x:v>an owl</x:v>
      </x:c>
      <x:c r="H13" s="21"/>
      <x:c r="I13" s="2" t="str">
        <x:f>IF(H13="","",IF(H13=G13,1,0))</x:f>
      </x:c>
    </x:row>
    <x:row r="14" ht="63" customHeight="1">
      <x:c r="A14" s="2" t="n">
        <x:v>3</x:v>
      </x:c>
      <x:c r="B14" s="2" t="str">
        <x:v>Q1</x:v>
      </x:c>
      <x:c r="C14" s="2" t="str">
        <x:v>Multiple choice</x:v>
      </x:c>
      <x:c r="D14" s="9" t="str">
        <x:v>Find a detail</x:v>
      </x:c>
      <x:c r="E14" s="9" t="str">
        <x:v>How many pumpkins?</x:v>
      </x:c>
      <x:c r="F14" s="9" t="str">
        <x:v>A. 3
B. 2</x:v>
      </x:c>
      <x:c r="G14" s="9" t="str">
        <x:v>3</x:v>
      </x:c>
      <x:c r="H14" s="21"/>
      <x:c r="I14" s="2" t="str">
        <x:f>IF(H14="","",IF(H14=G14,1,0))</x:f>
      </x:c>
    </x:row>
    <x:row r="15" ht="63" customHeight="1">
      <x:c r="A15" s="2" t="n">
        <x:v>3</x:v>
      </x:c>
      <x:c r="B15" s="2" t="str">
        <x:v>M1</x:v>
      </x:c>
      <x:c r="C15" s="2" t="str">
        <x:v>Matching</x:v>
      </x:c>
      <x:c r="D15" s="9" t="str">
        <x:v>Story details</x:v>
      </x:c>
      <x:c r="E15" s="9" t="str">
        <x:v>Pumpkins sit on a…</x:v>
      </x:c>
      <x:c r="F15" s="9" t="str">
        <x:v>bed
wall</x:v>
      </x:c>
      <x:c r="G15" s="9" t="str">
        <x:v>wall</x:v>
      </x:c>
      <x:c r="H15" s="21"/>
      <x:c r="I15" s="2" t="str">
        <x:f>IF(H15="","",IF(H15=G15,1,0))</x:f>
      </x:c>
    </x:row>
    <x:row r="16" ht="63" customHeight="1">
      <x:c r="A16" s="2" t="n">
        <x:v>4</x:v>
      </x:c>
      <x:c r="B16" s="2" t="str">
        <x:v>Q1</x:v>
      </x:c>
      <x:c r="C16" s="2" t="str">
        <x:v>Multiple choice</x:v>
      </x:c>
      <x:c r="D16" s="9" t="str">
        <x:v>Find a detail</x:v>
      </x:c>
      <x:c r="E16" s="9" t="str">
        <x:v>Who says “Hoo!”?</x:v>
      </x:c>
      <x:c r="F16" s="9" t="str">
        <x:v>A. a ghost
B. an owl</x:v>
      </x:c>
      <x:c r="G16" s="9" t="str">
        <x:v>an owl</x:v>
      </x:c>
      <x:c r="H16" s="21"/>
      <x:c r="I16" s="2" t="str">
        <x:f>IF(H16="","",IF(H16=G16,1,0))</x:f>
      </x:c>
    </x:row>
    <x:row r="17" ht="63" customHeight="1">
      <x:c r="A17" s="2" t="n">
        <x:v>4</x:v>
      </x:c>
      <x:c r="B17" s="2" t="str">
        <x:v>M1</x:v>
      </x:c>
      <x:c r="C17" s="2" t="str">
        <x:v>Matching</x:v>
      </x:c>
      <x:c r="D17" s="9" t="str">
        <x:v>Story details</x:v>
      </x:c>
      <x:c r="E17" s="9" t="str">
        <x:v>The ghost says</x:v>
      </x:c>
      <x:c r="F17" s="9" t="str">
        <x:v>Boo!
Meow!</x:v>
      </x:c>
      <x:c r="G17" s="9" t="str">
        <x:v>Boo!</x:v>
      </x:c>
      <x:c r="H17" s="21"/>
      <x:c r="I17" s="2" t="str">
        <x:f>IF(H17="","",IF(H17=G17,1,0))</x:f>
      </x:c>
    </x:row>
    <x:row r="18" ht="63" customHeight="1">
      <x:c r="A18" s="2" t="n">
        <x:v>5</x:v>
      </x:c>
      <x:c r="B18" s="2" t="str">
        <x:v>Q1</x:v>
      </x:c>
      <x:c r="C18" s="2" t="str">
        <x:v>Multiple choice</x:v>
      </x:c>
      <x:c r="D18" s="9" t="str">
        <x:v>Vocabulary</x:v>
      </x:c>
      <x:c r="E18" s="9" t="str">
        <x:v>A tin is a…</x:v>
      </x:c>
      <x:c r="F18" s="9" t="str">
        <x:v>A. metal box
B. hat</x:v>
      </x:c>
      <x:c r="G18" s="9" t="str">
        <x:v>metal box</x:v>
      </x:c>
      <x:c r="H18" s="21"/>
      <x:c r="I18" s="2" t="str">
        <x:f>IF(H18="","",IF(H18=G18,1,0))</x:f>
      </x:c>
    </x:row>
    <x:row r="19" ht="63" customHeight="1">
      <x:c r="A19" s="2" t="n">
        <x:v>5</x:v>
      </x:c>
      <x:c r="B19" s="2" t="str">
        <x:v>M1</x:v>
      </x:c>
      <x:c r="C19" s="2" t="str">
        <x:v>Matching</x:v>
      </x:c>
      <x:c r="D19" s="9" t="str">
        <x:v>Find a detail</x:v>
      </x:c>
      <x:c r="E19" s="9" t="str">
        <x:v>The tin is</x:v>
      </x:c>
      <x:c r="F19" s="9" t="str">
        <x:v>under the owl
in a tree</x:v>
      </x:c>
      <x:c r="G19" s="9" t="str">
        <x:v>under the owl</x:v>
      </x:c>
      <x:c r="H19" s="21"/>
      <x:c r="I19" s="2" t="str">
        <x:f>IF(H19="","",IF(H19=G19,1,0))</x:f>
      </x:c>
    </x:row>
    <x:row r="20" ht="63" customHeight="1">
      <x:c r="A20" s="2" t="n">
        <x:v>6</x:v>
      </x:c>
      <x:c r="B20" s="2" t="str">
        <x:v>Q1</x:v>
      </x:c>
      <x:c r="C20" s="2" t="str">
        <x:v>Multiple choice</x:v>
      </x:c>
      <x:c r="D20" s="9" t="str">
        <x:v>Deduction</x:v>
      </x:c>
      <x:c r="E20" s="9" t="str">
        <x:v>Pick a house.</x:v>
      </x:c>
      <x:c r="F20" s="9" t="str">
        <x:v>A. House 1
B. House 2</x:v>
      </x:c>
      <x:c r="G20" s="9" t="str">
        <x:v>House 2</x:v>
      </x:c>
      <x:c r="H20" s="21"/>
      <x:c r="I20" s="2" t="str">
        <x:f>IF(H20="","",IF(H20=G20,1,0))</x:f>
      </x:c>
    </x:row>
    <x:row r="21" ht="63" customHeight="1">
      <x:c r="A21" s="2" t="n">
        <x:v>6</x:v>
      </x:c>
      <x:c r="B21" s="2" t="str">
        <x:v>M1</x:v>
      </x:c>
      <x:c r="C21" s="2" t="str">
        <x:v>Matching</x:v>
      </x:c>
      <x:c r="D21" s="9" t="str">
        <x:v>Clue details</x:v>
      </x:c>
      <x:c r="E21" s="9" t="str">
        <x:v>The keychain is</x:v>
      </x:c>
      <x:c r="F21" s="9" t="str">
        <x:v>in a hat
in a tin</x:v>
      </x:c>
      <x:c r="G21" s="9" t="str">
        <x:v>in a tin</x:v>
      </x:c>
      <x:c r="H21" s="21"/>
      <x:c r="I21" s="2" t="str">
        <x:f>IF(H21="","",IF(H21=G21,1,0))</x:f>
      </x:c>
    </x:row>
    <x:row r="22" ht="10" customHeight="1">
      <x:c r="A22" s="24"/>
      <x:c r="B22" s="24"/>
      <x:c r="C22" s="24"/>
      <x:c r="D22" s="25"/>
      <x:c r="E22" s="25"/>
      <x:c r="F22" s="25"/>
      <x:c r="G22" s="25"/>
      <x:c r="H22" s="25"/>
      <x:c r="I22" s="24"/>
    </x:row>
    <x:row r="23" ht="10" customHeight="1">
      <x:c r="A23" s="24"/>
      <x:c r="B23" s="24"/>
      <x:c r="C23" s="24"/>
      <x:c r="D23" s="25"/>
      <x:c r="E23" s="25"/>
      <x:c r="F23" s="25"/>
      <x:c r="G23" s="25"/>
      <x:c r="H23" s="25"/>
      <x:c r="I23" s="24"/>
    </x:row>
    <x:row r="24" ht="10" customHeight="1">
      <x:c r="A24" s="24"/>
      <x:c r="B24" s="24"/>
      <x:c r="C24" s="24"/>
      <x:c r="D24" s="25"/>
      <x:c r="E24" s="25"/>
      <x:c r="F24" s="25"/>
      <x:c r="G24" s="25"/>
      <x:c r="H24" s="25"/>
      <x:c r="I24" s="24"/>
    </x:row>
    <x:row r="25" ht="10" customHeight="1">
      <x:c r="A25" s="24"/>
      <x:c r="B25" s="24"/>
      <x:c r="C25" s="24"/>
      <x:c r="D25" s="25"/>
      <x:c r="E25" s="25"/>
      <x:c r="F25" s="25"/>
      <x:c r="G25" s="25"/>
      <x:c r="H25" s="25"/>
      <x:c r="I25" s="24"/>
    </x:row>
    <x:row r="26" ht="10" customHeight="1">
      <x:c r="A26" s="24"/>
      <x:c r="B26" s="24"/>
      <x:c r="C26" s="24"/>
      <x:c r="D26" s="25"/>
      <x:c r="E26" s="25"/>
      <x:c r="F26" s="25"/>
      <x:c r="G26" s="25"/>
      <x:c r="H26" s="25"/>
      <x:c r="I26" s="24"/>
    </x:row>
    <x:row r="27" ht="10" customHeight="1">
      <x:c r="A27" s="24"/>
      <x:c r="B27" s="24"/>
      <x:c r="C27" s="24"/>
      <x:c r="D27" s="25"/>
      <x:c r="E27" s="25"/>
      <x:c r="F27" s="25"/>
      <x:c r="G27" s="25"/>
      <x:c r="H27" s="25"/>
      <x:c r="I27" s="24"/>
    </x:row>
    <x:row r="28" ht="10" customHeight="1">
      <x:c r="A28" s="24"/>
      <x:c r="B28" s="24"/>
      <x:c r="C28" s="24"/>
      <x:c r="D28" s="25"/>
      <x:c r="E28" s="25"/>
      <x:c r="F28" s="25"/>
      <x:c r="G28" s="25"/>
      <x:c r="H28" s="25"/>
      <x:c r="I28" s="24"/>
    </x:row>
    <x:row r="29" ht="10" customHeight="1">
      <x:c r="A29" s="24"/>
      <x:c r="B29" s="24"/>
      <x:c r="C29" s="24"/>
      <x:c r="D29" s="25"/>
      <x:c r="E29" s="25"/>
      <x:c r="F29" s="25"/>
      <x:c r="G29" s="25"/>
      <x:c r="H29" s="25"/>
      <x:c r="I29" s="24"/>
    </x:row>
    <x:row r="30" ht="10" customHeight="1">
      <x:c r="A30" s="24"/>
      <x:c r="B30" s="24"/>
      <x:c r="C30" s="24"/>
      <x:c r="D30" s="25"/>
      <x:c r="E30" s="25"/>
      <x:c r="F30" s="25"/>
      <x:c r="G30" s="25"/>
      <x:c r="H30" s="25"/>
      <x:c r="I30" s="24"/>
    </x:row>
    <x:row r="31" ht="10" customHeight="1">
      <x:c r="A31" s="24"/>
      <x:c r="B31" s="24"/>
      <x:c r="C31" s="24"/>
      <x:c r="D31" s="25"/>
      <x:c r="E31" s="25"/>
      <x:c r="F31" s="25"/>
      <x:c r="G31" s="25"/>
      <x:c r="H31" s="25"/>
      <x:c r="I31" s="24"/>
    </x:row>
    <x:row r="32" ht="10" customHeight="1">
      <x:c r="A32" s="24"/>
      <x:c r="B32" s="24"/>
      <x:c r="C32" s="24"/>
      <x:c r="D32" s="25"/>
      <x:c r="E32" s="25"/>
      <x:c r="F32" s="25"/>
      <x:c r="G32" s="25"/>
      <x:c r="H32" s="25"/>
      <x:c r="I32" s="24"/>
    </x:row>
    <x:row r="33" ht="10" customHeight="1">
      <x:c r="A33" s="24"/>
      <x:c r="B33" s="24"/>
      <x:c r="C33" s="24"/>
      <x:c r="D33" s="25"/>
      <x:c r="E33" s="25"/>
      <x:c r="F33" s="25"/>
      <x:c r="G33" s="25"/>
      <x:c r="H33" s="25"/>
      <x:c r="I33" s="24"/>
    </x:row>
    <x:row r="34" ht="10" customHeight="1">
      <x:c r="A34" s="24"/>
      <x:c r="B34" s="24"/>
      <x:c r="C34" s="24"/>
      <x:c r="D34" s="25"/>
      <x:c r="E34" s="25"/>
      <x:c r="F34" s="25"/>
      <x:c r="G34" s="25"/>
      <x:c r="H34" s="25"/>
      <x:c r="I34" s="24"/>
    </x:row>
    <x:row r="35" ht="10" customHeight="1">
      <x:c r="A35" s="24"/>
      <x:c r="B35" s="24"/>
      <x:c r="C35" s="24"/>
      <x:c r="D35" s="25"/>
      <x:c r="E35" s="25"/>
      <x:c r="F35" s="25"/>
      <x:c r="G35" s="25"/>
      <x:c r="H35" s="25"/>
      <x:c r="I35" s="24"/>
    </x:row>
    <x:row r="36" ht="10" customHeight="1">
      <x:c r="A36" s="24"/>
      <x:c r="B36" s="24"/>
      <x:c r="C36" s="24"/>
      <x:c r="D36" s="25"/>
      <x:c r="E36" s="25"/>
      <x:c r="F36" s="25"/>
      <x:c r="G36" s="25"/>
      <x:c r="H36" s="25"/>
      <x:c r="I36" s="24"/>
    </x:row>
    <x:row r="37" ht="10" customHeight="1">
      <x:c r="A37" s="24"/>
      <x:c r="B37" s="24"/>
      <x:c r="C37" s="24"/>
      <x:c r="D37" s="25"/>
      <x:c r="E37" s="25"/>
      <x:c r="F37" s="25"/>
      <x:c r="G37" s="25"/>
      <x:c r="H37" s="25"/>
      <x:c r="I37" s="24"/>
    </x:row>
    <x:row r="38" ht="10" customHeight="1">
      <x:c r="A38" s="24"/>
      <x:c r="B38" s="24"/>
      <x:c r="C38" s="24"/>
      <x:c r="D38" s="25"/>
      <x:c r="E38" s="25"/>
      <x:c r="F38" s="25"/>
      <x:c r="G38" s="25"/>
      <x:c r="H38" s="25"/>
      <x:c r="I38" s="24"/>
    </x:row>
    <x:row r="39" ht="10" customHeight="1">
      <x:c r="A39" s="24"/>
      <x:c r="B39" s="24"/>
      <x:c r="C39" s="24"/>
      <x:c r="D39" s="25"/>
      <x:c r="E39" s="25"/>
      <x:c r="F39" s="25"/>
      <x:c r="G39" s="25"/>
      <x:c r="H39" s="25"/>
      <x:c r="I39" s="24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</x:sheetData>
  <x:pageMargins left="0.7" right="0.7" top="0.75" bottom="0.75" header="0.3" footer="0.3"/>
</x:worksheet>
</file>